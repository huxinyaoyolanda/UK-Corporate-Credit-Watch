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94b819879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498b217101e3433b"/>
    <x:sheet xmlns:r="http://schemas.openxmlformats.org/officeDocument/2006/relationships" name="Raw_Data" sheetId="2" r:id="R3b2ccdb4834f4c1d"/>
    <x:sheet xmlns:r="http://schemas.openxmlformats.org/officeDocument/2006/relationships" name="Assumptions" sheetId="3" r:id="R1efdca05867d45a9"/>
    <x:sheet xmlns:r="http://schemas.openxmlformats.org/officeDocument/2006/relationships" name="Metrics" sheetId="4" r:id="R99f72c9d99a24cbe"/>
    <x:sheet xmlns:r="http://schemas.openxmlformats.org/officeDocument/2006/relationships" name="Latest_Snapshot" sheetId="5" r:id="Rb8e660b43f724214"/>
    <x:sheet xmlns:r="http://schemas.openxmlformats.org/officeDocument/2006/relationships" name="Stress_Test" sheetId="6" r:id="R0e423a9200d94d4e"/>
    <x:sheet xmlns:r="http://schemas.openxmlformats.org/officeDocument/2006/relationships" name="Watchlist" sheetId="7" r:id="Rdef8b406c94c4f01"/>
    <x:sheet xmlns:r="http://schemas.openxmlformats.org/officeDocument/2006/relationships" name="Sector_View" sheetId="8" r:id="R1d65cd4e0f7c497a"/>
    <x:sheet xmlns:r="http://schemas.openxmlformats.org/officeDocument/2006/relationships" name="Dashboard" sheetId="9" r:id="R80e0be55096c4f5b"/>
    <x:sheet xmlns:r="http://schemas.openxmlformats.org/officeDocument/2006/relationships" name="Sources" sheetId="10" r:id="R0d2cf5d023db4c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[Red](#,##0.0);-"/>
    <x:numFmt numFmtId="201" formatCode="0.0%;[Red](0.0%);-"/>
    <x:numFmt numFmtId="202" formatCode="0.00x;[Red](0.00x);-"/>
    <x:numFmt numFmtId="203" formatCode="0.0"/>
    <x:numFmt numFmtId="204" formatCode="0;[Red](0);-"/>
  </x:numFmts>
  <x:fonts count="1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sz val="10"/>
      <x:color rgb="FF0000FF"/>
      <x:name val="Aptos"/>
    </x:font>
    <x:font>
      <x:sz val="9"/>
      <x:color rgb="FF0000FF"/>
      <x:name val="Aptos"/>
    </x:font>
    <x:font>
      <x:sz val="10"/>
      <x:color rgb="FF008000"/>
      <x:name val="Aptos"/>
    </x:font>
    <x:font>
      <x:sz val="10"/>
      <x:color rgb="FF000000"/>
      <x:name val="Aptos"/>
    </x:font>
    <x:font>
      <x:b/>
      <x:sz val="12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000000"/>
      <x:name val="Aptos"/>
    </x:font>
    <x:font>
      <x:b/>
      <x:sz val="15"/>
      <x:color rgb="FFFFFFFF"/>
      <x:name val="Aptos Display"/>
    </x:font>
    <x:font>
      <x:b/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7" fillId="0" borderId="0" xfId="0" applyNumberFormat="1" applyFont="1" applyFill="1" applyBorder="1"/>
    <x:xf numFmtId="201" fontId="6" fillId="0" borderId="1" xfId="0" applyNumberFormat="1" applyFont="1" applyFill="1" applyBorder="1"/>
    <x:xf numFmtId="201" fontId="7" fillId="0" borderId="1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7" fillId="0" borderId="0" xfId="0" applyNumberFormat="1" applyFont="1" applyFill="1" applyBorder="1"/>
    <x:xf numFmtId="203" fontId="7" fillId="0" borderId="1" xfId="0" applyNumberFormat="1" applyFont="1" applyFill="1" applyBorder="1"/>
    <x:xf numFmtId="204" fontId="7" fillId="0" borderId="0" xfId="0" applyNumberFormat="1" applyFont="1" applyFill="1" applyBorder="1"/>
    <x:xf numFmtId="204" fontId="7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/>
    <x:xf numFmtId="0" fontId="11" fillId="3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  <x:xf numFmtId="0" fontId="12" fillId="2" borderId="1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/>
    <x:xf numFmtId="202" fontId="10" fillId="0" borderId="1" xfId="0" applyNumberFormat="1" applyFont="1" applyFill="1" applyBorder="1"/>
    <x:xf numFmtId="204" fontId="10" fillId="0" borderId="0" xfId="0" applyNumberFormat="1" applyFont="1" applyFill="1" applyBorder="1"/>
    <x:xf numFmtId="203" fontId="10" fillId="0" borderId="0" xfId="0" applyNumberFormat="1" applyFont="1" applyFill="1" applyBorder="1"/>
    <x:xf numFmtId="204" fontId="10" fillId="0" borderId="1" xfId="0" applyNumberFormat="1" applyFont="1" applyFill="1" applyBorder="1"/>
    <x:xf numFmtId="203" fontId="10" fillId="0" borderId="1" xfId="0" applyNumberFormat="1" applyFont="1" applyFill="1" applyBorder="1"/>
    <x:xf numFmtId="0" fontId="13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vertical="top" wrapText="1"/>
    </x:xf>
    <x:xf numFmtId="0" fontId="13" fillId="0" borderId="1" xfId="0" applyNumberFormat="1" applyFont="1" applyFill="1" applyBorder="1" applyAlignment="1">
      <x:alignment horizontal="center"/>
    </x:xf>
    <x:xf numFmtId="0" fontId="1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006100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006100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484f6ea5b4057" /><Relationship Type="http://schemas.openxmlformats.org/officeDocument/2006/relationships/theme" Target="/xl/theme/theme1.xml" Id="R65afd2de0ff741a9" /><Relationship Type="http://schemas.openxmlformats.org/officeDocument/2006/relationships/sharedStrings" Target="/xl/sharedStrings.xml" Id="R8c3218cd9ca44aa4" /><Relationship Type="http://schemas.openxmlformats.org/officeDocument/2006/relationships/worksheet" Target="/xl/worksheets/sheet1.xml" Id="R498b217101e3433b" /><Relationship Type="http://schemas.openxmlformats.org/officeDocument/2006/relationships/worksheet" Target="/xl/worksheets/sheet2.xml" Id="R3b2ccdb4834f4c1d" /><Relationship Type="http://schemas.openxmlformats.org/officeDocument/2006/relationships/worksheet" Target="/xl/worksheets/sheet3.xml" Id="R1efdca05867d45a9" /><Relationship Type="http://schemas.openxmlformats.org/officeDocument/2006/relationships/worksheet" Target="/xl/worksheets/sheet4.xml" Id="R99f72c9d99a24cbe" /><Relationship Type="http://schemas.openxmlformats.org/officeDocument/2006/relationships/worksheet" Target="/xl/worksheets/sheet5.xml" Id="Rb8e660b43f724214" /><Relationship Type="http://schemas.openxmlformats.org/officeDocument/2006/relationships/worksheet" Target="/xl/worksheets/sheet6.xml" Id="R0e423a9200d94d4e" /><Relationship Type="http://schemas.openxmlformats.org/officeDocument/2006/relationships/worksheet" Target="/xl/worksheets/sheet7.xml" Id="Rdef8b406c94c4f01" /><Relationship Type="http://schemas.openxmlformats.org/officeDocument/2006/relationships/worksheet" Target="/xl/worksheets/sheet8.xml" Id="R1d65cd4e0f7c497a" /><Relationship Type="http://schemas.openxmlformats.org/officeDocument/2006/relationships/worksheet" Target="/xl/worksheets/sheet9.xml" Id="R80e0be55096c4f5b" /><Relationship Type="http://schemas.openxmlformats.org/officeDocument/2006/relationships/worksheet" Target="/xl/worksheets/sheet10.xml" Id="R0d2cf5d023db4c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866f2700a749c6" /><Relationship Type="http://schemas.openxmlformats.org/officeDocument/2006/relationships/chart" Target="/xl/drawings/charts/chart2.xml" Id="R72d1d7341ddc440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bar"/>
        <c:grouping val="clustered"/>
        <c:varyColors val="0"/>
        <c:ser>
          <c:idx val="0"/>
          <c:order val="0"/>
          <c:tx>
            <c:v>Risk Score</c:v>
          </c:tx>
          <c:cat>
            <c:strRef>
              <c:f>'Watchlist'!$B$4:$B$18</c:f>
              <c:strCache>
                <c:ptCount val="0"/>
              </c:strCache>
            </c:strRef>
          </c:cat>
          <c:val>
            <c:numRef>
              <c:f>'Watchlist'!$S$4:$S$18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Current</c:v>
          </c:tx>
          <c:cat>
            <c:strRef>
              <c:f>'Watchlist'!$B$4:$B$18</c:f>
              <c:strCache>
                <c:ptCount val="0"/>
              </c:strCache>
            </c:strRef>
          </c:cat>
          <c:val>
            <c:numRef>
              <c:f>'Watchlist'!$F$4:$F$18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Severe</c:v>
          </c:tx>
          <c:cat>
            <c:strRef>
              <c:f>'Watchlist'!$B$4:$B$18</c:f>
              <c:strCache>
                <c:ptCount val="0"/>
              </c:strCache>
            </c:strRef>
          </c:cat>
          <c:val>
            <c:numRef>
              <c:f>'Watchlist'!$K$4:$K$18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866f2700a749c6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d1d7341ddc440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f47e4957e8704da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82" t="str">
        <x:v>UK Corporate Credit Watch — Automated Early-Warning &amp; Portfolio Monitoring Tool</x:v>
      </x:c>
      <x:c r="B1" s="72"/>
      <x:c r="C1" s="72"/>
      <x:c r="D1" s="72"/>
      <x:c r="E1" s="72"/>
      <x:c r="F1" s="72"/>
      <x:c r="G1" s="72"/>
      <x:c r="H1" s="72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  <x:c r="AA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  <x:c r="AA2" s="73"/>
    </x:row>
    <x:row r="3" ht="42" customHeight="1">
      <x:c r="A3" s="74" t="str">
        <x:v>Business problem</x:v>
      </x:c>
      <x:c r="B3" s="75" t="str">
        <x:v>Turn public corporate financial disclosures into a repeatable credit-monitoring watchlist that tells an analyst what to review next.</x:v>
      </x:c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  <x:c r="AA3" s="73"/>
    </x:row>
    <x:row r="4" ht="42" customHeight="1">
      <x:c r="A4" s="74" t="str">
        <x:v>Current universe</x:v>
      </x:c>
      <x:c r="B4" s="75" t="str">
        <x:v>15 UK-listed corporates across 5 sectors; 4 fiscal years each = 60 company-years.</x:v>
      </x:c>
      <x:c r="C4" s="73"/>
      <x:c r="D4" s="73"/>
      <x:c r="E4" s="73"/>
      <x:c r="F4" s="73"/>
      <x:c r="G4" s="73"/>
      <x:c r="H4" s="73"/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  <x:c r="AA4" s="73"/>
    </x:row>
    <x:row r="5" ht="42" customHeight="1">
      <x:c r="A5" s="74" t="str">
        <x:v>What Python does</x:v>
      </x:c>
      <x:c r="B5" s="75" t="str">
        <x:v>Cleans the snapshot, calculates 10+ credit/trend metrics, runs three stress cases, scores relative risk, applies rule-based triggers, and exports a ranked RAG watchlist.</x:v>
      </x:c>
      <x:c r="C5" s="73"/>
      <x:c r="D5" s="73"/>
      <x:c r="E5" s="73"/>
      <x:c r="F5" s="73"/>
      <x:c r="G5" s="73"/>
      <x:c r="H5" s="73"/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  <x:c r="AA5" s="73"/>
    </x:row>
    <x:row r="6" ht="42" customHeight="1">
      <x:c r="A6" s="74" t="str">
        <x:v>What Excel does</x:v>
      </x:c>
      <x:c r="B6" s="75" t="str">
        <x:v>Provides an auditable presentation layer with formula-driven metrics, stress tests, trigger rules, sector context, and management-ready dashboard.</x:v>
      </x:c>
      <x:c r="C6" s="73"/>
      <x:c r="D6" s="73"/>
      <x:c r="E6" s="73"/>
      <x:c r="F6" s="73"/>
      <x:c r="G6" s="73"/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  <x:c r="AA6" s="73"/>
    </x:row>
    <x:row r="7" ht="42" customHeight="1">
      <x:c r="A7" s="74" t="str">
        <x:v>What makes this different from research</x:v>
      </x:c>
      <x:c r="B7" s="75" t="str">
        <x:v>The output is not a paper. It is a decision tool: Monitor / Enhanced Review / Escalate, with explicit triggers and severe-stress headroom.</x:v>
      </x:c>
      <x:c r="C7" s="73"/>
      <x:c r="D7" s="73"/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  <x:c r="AA7" s="73"/>
    </x:row>
    <x:row r="8" ht="42" customHeight="1">
      <x:c r="A8" s="74" t="str">
        <x:v>Important limitation</x:v>
      </x:c>
      <x:c r="B8" s="75" t="str">
        <x:v>This is a relative early-warning screen, not a credit rating, probability-of-default model, or investment recommendation. Cross-sector structure and accounting definitions require analyst judgement.</x:v>
      </x:c>
      <x:c r="C8" s="73"/>
      <x:c r="D8" s="73"/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  <x:c r="AA8" s="73"/>
    </x:row>
    <x:row r="9">
      <x:c r="A9" s="73"/>
      <x:c r="B9" s="73"/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  <x:c r="AA9" s="73"/>
    </x:row>
    <x:row r="10">
      <x:c r="A10" s="76" t="str">
        <x:v>Decision workflow</x:v>
      </x:c>
      <x:c r="B10" s="76"/>
      <x:c r="C10" s="76"/>
      <x:c r="D10" s="76"/>
      <x:c r="E10" s="76"/>
      <x:c r="F10" s="76"/>
      <x:c r="G10" s="76"/>
      <x:c r="H10" s="76"/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  <x:c r="AA10" s="73"/>
    </x:row>
    <x:row r="11">
      <x:c r="A11" s="74" t="str">
        <x:v>1</x:v>
      </x:c>
      <x:c r="B11" s="74" t="str">
        <x:v>Source</x:v>
      </x:c>
      <x:c r="C11" s="74" t="str">
        <x:v>Frozen public financial snapshot + official IR source registry</x:v>
      </x:c>
      <x:c r="D11" s="73"/>
      <x:c r="E11" s="73"/>
      <x:c r="F11" s="73"/>
      <x:c r="G11" s="73"/>
      <x:c r="H11" s="73"/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  <x:c r="AA11" s="73"/>
    </x:row>
    <x:row r="12">
      <x:c r="A12" s="75" t="str">
        <x:v>2</x:v>
      </x:c>
      <x:c r="B12" s="75" t="str">
        <x:v>Standardise</x:v>
      </x:c>
      <x:c r="C12" s="75" t="str">
        <x:v>Consistent revenue / EBIT / interest / debt / FCF-margin fields</x:v>
      </x:c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  <x:c r="AA12" s="73"/>
    </x:row>
    <x:row r="13">
      <x:c r="A13" s="75" t="str">
        <x:v>3</x:v>
      </x:c>
      <x:c r="B13" s="75" t="str">
        <x:v>Measure</x:v>
      </x:c>
      <x:c r="C13" s="75" t="str">
        <x:v>Leverage, coverage, cash-flow, trend and margin signals</x:v>
      </x:c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  <x:c r="AA13" s="73"/>
    </x:row>
    <x:row r="14">
      <x:c r="A14" s="75" t="str">
        <x:v>4</x:v>
      </x:c>
      <x:c r="B14" s="75" t="str">
        <x:v>Stress</x:v>
      </x:c>
      <x:c r="C14" s="75" t="str">
        <x:v>Base / Downside / Severe shocks</x:v>
      </x:c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  <x:c r="AA14" s="73"/>
    </x:row>
    <x:row r="15">
      <x:c r="A15" s="75" t="str">
        <x:v>5</x:v>
      </x:c>
      <x:c r="B15" s="75" t="str">
        <x:v>Trigger</x:v>
      </x:c>
      <x:c r="C15" s="75" t="str">
        <x:v>Rule-based early-warning thresholds</x:v>
      </x:c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  <x:c r="AA15" s="73"/>
    </x:row>
    <x:row r="16">
      <x:c r="A16" s="75" t="str">
        <x:v>6</x:v>
      </x:c>
      <x:c r="B16" s="75" t="str">
        <x:v>Prioritise</x:v>
      </x:c>
      <x:c r="C16" s="75" t="str">
        <x:v>0–100 relative score + sector percentile</x:v>
      </x:c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  <x:c r="AA16" s="73"/>
    </x:row>
    <x:row r="17">
      <x:c r="A17" s="75" t="str">
        <x:v>7</x:v>
      </x:c>
      <x:c r="B17" s="75" t="str">
        <x:v>Act</x:v>
      </x:c>
      <x:c r="C17" s="75" t="str">
        <x:v>GREEN = Routine Monitor; AMBER = Enhanced Review; RED = Escalate</x:v>
      </x:c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  <x:c r="AA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  <x:c r="AA18" s="73"/>
    </x:row>
    <x:row r="19">
      <x:c r="A19" s="76" t="str">
        <x:v>CV-safe baseline claim</x:v>
      </x:c>
      <x:c r="B19" s="76"/>
      <x:c r="C19" s="76"/>
      <x:c r="D19" s="76"/>
      <x:c r="E19" s="76"/>
      <x:c r="F19" s="76"/>
      <x:c r="G19" s="76"/>
      <x:c r="H19" s="76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  <x:c r="AA19" s="73"/>
    </x:row>
    <x:row r="20">
      <x:c r="A20" s="75" t="str">
        <x:v>Built a Python- and Excel-based corporate credit early-warning tool monitoring 15 UK-listed companies across 5 sectors and 60 company-years, calculating leverage, coverage, cash-flow and trend indicators and converting them into a ranked RAG watchlist under three stress scenarios.</x:v>
      </x:c>
      <x:c r="B20" s="75"/>
      <x:c r="C20" s="75"/>
      <x:c r="D20" s="75"/>
      <x:c r="E20" s="75"/>
      <x:c r="F20" s="75"/>
      <x:c r="G20" s="75"/>
      <x:c r="H20" s="75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</x:row>
    <x:row r="21">
      <x:c r="A21" s="75"/>
      <x:c r="B21" s="75"/>
      <x:c r="C21" s="75"/>
      <x:c r="D21" s="75"/>
      <x:c r="E21" s="75"/>
      <x:c r="F21" s="75"/>
      <x:c r="G21" s="75"/>
      <x:c r="H21" s="75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  <x:c r="AA21" s="73"/>
    </x:row>
    <x:row r="22">
      <x:c r="A22" s="75"/>
      <x:c r="B22" s="75"/>
      <x:c r="C22" s="75"/>
      <x:c r="D22" s="75"/>
      <x:c r="E22" s="75"/>
      <x:c r="F22" s="75"/>
      <x:c r="G22" s="75"/>
      <x:c r="H22" s="75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  <x:c r="AA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  <x:c r="AA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  <x:c r="AA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  <x:c r="AA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  <x:c r="AA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  <x:c r="AA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  <x:c r="AA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  <x:c r="AA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  <x:c r="AA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  <x:c r="AA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  <x:c r="AA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  <x:c r="AA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  <x:c r="AA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  <x:c r="AA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  <x:c r="AA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  <x:c r="AA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  <x:c r="AA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  <x:c r="AA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  <x:c r="AA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  <x:c r="AA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  <x:c r="AA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  <x:c r="AA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  <x:c r="AA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  <x:c r="AA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  <x:c r="AA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  <x:c r="AA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  <x:c r="AA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  <x:c r="AA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  <x:c r="AA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  <x:c r="AA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  <x:c r="AA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  <x:c r="AA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  <x:c r="AA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  <x:c r="AA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  <x:c r="AA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  <x:c r="AA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  <x:c r="AA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  <x:c r="AA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  <x:c r="AA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  <x:c r="AA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  <x:c r="AA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  <x:c r="AA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  <x:c r="AA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  <x:c r="AA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  <x:c r="AA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  <x:c r="AA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  <x:c r="AA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  <x:c r="AA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  <x:c r="AA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  <x:c r="AA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  <x:c r="AA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  <x:c r="AA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  <x:c r="AA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  <x:c r="AA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  <x:c r="AA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  <x:c r="AA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  <x:c r="AA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  <x:c r="AA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  <x:c r="AA80" s="73"/>
    </x:row>
  </x:sheetData>
  <x:mergeCells>
    <x:mergeCell ref="A1:H1"/>
    <x:mergeCell ref="A10:H10"/>
    <x:mergeCell ref="A19:H19"/>
    <x:mergeCell ref="A20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8" hidden="0" customWidth="1"/>
    <x:col min="3" max="3" width="24" hidden="0" customWidth="1"/>
    <x:col min="4" max="4" width="9" hidden="0" customWidth="1"/>
    <x:col min="5" max="5" width="8" hidden="0" customWidth="1"/>
    <x:col min="6" max="6" width="14" hidden="0" customWidth="1"/>
    <x:col min="7" max="7" width="14" hidden="0" customWidth="1"/>
    <x:col min="8" max="8" width="18" hidden="0" customWidth="1"/>
    <x:col min="9" max="9" width="15" hidden="0" customWidth="1"/>
    <x:col min="10" max="10" width="12" hidden="0" customWidth="1"/>
    <x:col min="11" max="11" width="50" hidden="0" customWidth="1"/>
    <x:col min="12" max="12" width="52" hidden="0" customWidth="1"/>
    <x:col min="13" max="13" width="45" hidden="0" customWidth="1"/>
  </x:cols>
  <x:sheetData>
    <x:row r="1">
      <x:c r="A1" s="82" t="str">
        <x:v>Raw Data — Frozen Public Snapshot (currency units in millions)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  <x:c r="AA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  <x:c r="AA2" s="73"/>
    </x:row>
    <x:row r="3">
      <x:c r="A3" s="74" t="str">
        <x:v>Company</x:v>
      </x:c>
      <x:c r="B3" s="74" t="str">
        <x:v>Ticker</x:v>
      </x:c>
      <x:c r="C3" s="74" t="str">
        <x:v>Sector</x:v>
      </x:c>
      <x:c r="D3" s="74" t="str">
        <x:v>Currency</x:v>
      </x:c>
      <x:c r="E3" s="74" t="str">
        <x:v>FY</x:v>
      </x:c>
      <x:c r="F3" s="74" t="str">
        <x:v>Revenue (m)</x:v>
      </x:c>
      <x:c r="G3" s="74" t="str">
        <x:v>EBIT (m)</x:v>
      </x:c>
      <x:c r="H3" s="74" t="str">
        <x:v>Interest Expense (m)</x:v>
      </x:c>
      <x:c r="I3" s="74" t="str">
        <x:v>Total Debt (m)</x:v>
      </x:c>
      <x:c r="J3" s="74" t="str">
        <x:v>FCF Margin</x:v>
      </x:c>
      <x:c r="K3" s="74" t="str">
        <x:v>Structured Source</x:v>
      </x:c>
      <x:c r="L3" s="74" t="str">
        <x:v>Official IR Source</x:v>
      </x:c>
      <x:c r="M3" s="74" t="str">
        <x:v>Source Note</x:v>
      </x:c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  <x:c r="AA3" s="73"/>
    </x:row>
    <x:row r="4">
      <x:c r="A4" s="73" t="str">
        <x:v>AstraZeneca</x:v>
      </x:c>
      <x:c r="B4" s="73" t="str">
        <x:v>AZN</x:v>
      </x:c>
      <x:c r="C4" s="73" t="str">
        <x:v>Healthcare</x:v>
      </x:c>
      <x:c r="D4" s="73" t="str">
        <x:v>USD</x:v>
      </x:c>
      <x:c r="E4" s="24" t="n">
        <x:v>2022</x:v>
      </x:c>
      <x:c r="F4" s="26" t="n">
        <x:v>44351</x:v>
      </x:c>
      <x:c r="G4" s="26" t="n">
        <x:v>8812</x:v>
      </x:c>
      <x:c r="H4" s="26" t="n">
        <x:v>917</x:v>
      </x:c>
      <x:c r="I4" s="26" t="n">
        <x:v>31135</x:v>
      </x:c>
      <x:c r="J4" s="28" t="n">
        <x:v>0.1966</x:v>
      </x:c>
      <x:c r="K4" s="30" t="str">
        <x:v>https://stockanalysis.com/quote/lon/AZN/financials/</x:v>
      </x:c>
      <x:c r="L4" s="30" t="str">
        <x:v>https://www.astrazeneca.com/investor-relations/annual-reports.html</x:v>
      </x:c>
      <x:c r="M4" s="75" t="str">
        <x:v>Standardized public financial snapshot; official IR report registered for validation.</x:v>
      </x:c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  <x:c r="AA4" s="73"/>
    </x:row>
    <x:row r="5">
      <x:c r="A5" s="73" t="str">
        <x:v>AstraZeneca</x:v>
      </x:c>
      <x:c r="B5" s="73" t="str">
        <x:v>AZN</x:v>
      </x:c>
      <x:c r="C5" s="73" t="str">
        <x:v>Healthcare</x:v>
      </x:c>
      <x:c r="D5" s="73" t="str">
        <x:v>USD</x:v>
      </x:c>
      <x:c r="E5" s="24" t="n">
        <x:v>2023</x:v>
      </x:c>
      <x:c r="F5" s="26" t="n">
        <x:v>45811</x:v>
      </x:c>
      <x:c r="G5" s="26" t="n">
        <x:v>9699</x:v>
      </x:c>
      <x:c r="H5" s="26" t="n">
        <x:v>1219</x:v>
      </x:c>
      <x:c r="I5" s="26" t="n">
        <x:v>29649</x:v>
      </x:c>
      <x:c r="J5" s="28" t="n">
        <x:v>0.1961</x:v>
      </x:c>
      <x:c r="K5" s="30" t="str">
        <x:v>https://stockanalysis.com/quote/lon/AZN/financials/</x:v>
      </x:c>
      <x:c r="L5" s="30" t="str">
        <x:v>https://www.astrazeneca.com/investor-relations/annual-reports.html</x:v>
      </x:c>
      <x:c r="M5" s="75" t="str">
        <x:v>Standardized public financial snapshot; official IR report registered for validation.</x:v>
      </x:c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  <x:c r="AA5" s="73"/>
    </x:row>
    <x:row r="6">
      <x:c r="A6" s="73" t="str">
        <x:v>AstraZeneca</x:v>
      </x:c>
      <x:c r="B6" s="73" t="str">
        <x:v>AZN</x:v>
      </x:c>
      <x:c r="C6" s="73" t="str">
        <x:v>Healthcare</x:v>
      </x:c>
      <x:c r="D6" s="73" t="str">
        <x:v>USD</x:v>
      </x:c>
      <x:c r="E6" s="24" t="n">
        <x:v>2024</x:v>
      </x:c>
      <x:c r="F6" s="26" t="n">
        <x:v>54073</x:v>
      </x:c>
      <x:c r="G6" s="26" t="n">
        <x:v>12929</x:v>
      </x:c>
      <x:c r="H6" s="26" t="n">
        <x:v>1403</x:v>
      </x:c>
      <x:c r="I6" s="26" t="n">
        <x:v>30460</x:v>
      </x:c>
      <x:c r="J6" s="28" t="n">
        <x:v>0.1838</x:v>
      </x:c>
      <x:c r="K6" s="30" t="str">
        <x:v>https://stockanalysis.com/quote/lon/AZN/financials/</x:v>
      </x:c>
      <x:c r="L6" s="30" t="str">
        <x:v>https://www.astrazeneca.com/investor-relations/annual-reports.html</x:v>
      </x:c>
      <x:c r="M6" s="75" t="str">
        <x:v>Standardized public financial snapshot; official IR report registered for validation.</x:v>
      </x:c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  <x:c r="AA6" s="73"/>
    </x:row>
    <x:row r="7">
      <x:c r="A7" s="73" t="str">
        <x:v>AstraZeneca</x:v>
      </x:c>
      <x:c r="B7" s="73" t="str">
        <x:v>AZN</x:v>
      </x:c>
      <x:c r="C7" s="73" t="str">
        <x:v>Healthcare</x:v>
      </x:c>
      <x:c r="D7" s="73" t="str">
        <x:v>USD</x:v>
      </x:c>
      <x:c r="E7" s="24" t="n">
        <x:v>2025</x:v>
      </x:c>
      <x:c r="F7" s="26" t="n">
        <x:v>58739</x:v>
      </x:c>
      <x:c r="G7" s="26" t="n">
        <x:v>14292</x:v>
      </x:c>
      <x:c r="H7" s="26" t="n">
        <x:v>1365</x:v>
      </x:c>
      <x:c r="I7" s="26" t="n">
        <x:v>29703</x:v>
      </x:c>
      <x:c r="J7" s="28" t="n">
        <x:v>0.2003</x:v>
      </x:c>
      <x:c r="K7" s="30" t="str">
        <x:v>https://stockanalysis.com/quote/lon/AZN/financials/</x:v>
      </x:c>
      <x:c r="L7" s="30" t="str">
        <x:v>https://www.astrazeneca.com/investor-relations/annual-reports.html</x:v>
      </x:c>
      <x:c r="M7" s="75" t="str">
        <x:v>Standardized public financial snapshot; official IR report registered for validation.</x:v>
      </x:c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  <x:c r="AA7" s="73"/>
    </x:row>
    <x:row r="8">
      <x:c r="A8" s="73" t="str">
        <x:v>BT Group</x:v>
      </x:c>
      <x:c r="B8" s="73" t="str">
        <x:v>BT.A</x:v>
      </x:c>
      <x:c r="C8" s="73" t="str">
        <x:v>Telecom</x:v>
      </x:c>
      <x:c r="D8" s="73" t="str">
        <x:v>GBP</x:v>
      </x:c>
      <x:c r="E8" s="24" t="n">
        <x:v>2023</x:v>
      </x:c>
      <x:c r="F8" s="26" t="n">
        <x:v>20681</x:v>
      </x:c>
      <x:c r="G8" s="26" t="n">
        <x:v>2619</x:v>
      </x:c>
      <x:c r="H8" s="26" t="n">
        <x:v>894</x:v>
      </x:c>
      <x:c r="I8" s="26" t="n">
        <x:v>23880</x:v>
      </x:c>
      <x:c r="J8" s="28" t="n">
        <x:v>0.0685</x:v>
      </x:c>
      <x:c r="K8" s="30" t="str">
        <x:v>https://stockanalysis.com/quote/lon/BT.A/financials/</x:v>
      </x:c>
      <x:c r="L8" s="30" t="str">
        <x:v>https://www.bt.com/about/investors/financial-reporting-and-news/annual-reports</x:v>
      </x:c>
      <x:c r="M8" s="75" t="str">
        <x:v>Standardized public financial snapshot; official IR report registered for validation.</x:v>
      </x:c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  <x:c r="AA8" s="73"/>
    </x:row>
    <x:row r="9">
      <x:c r="A9" s="73" t="str">
        <x:v>BT Group</x:v>
      </x:c>
      <x:c r="B9" s="73" t="str">
        <x:v>BT.A</x:v>
      </x:c>
      <x:c r="C9" s="73" t="str">
        <x:v>Telecom</x:v>
      </x:c>
      <x:c r="D9" s="73" t="str">
        <x:v>GBP</x:v>
      </x:c>
      <x:c r="E9" s="24" t="n">
        <x:v>2024</x:v>
      </x:c>
      <x:c r="F9" s="26" t="n">
        <x:v>20797</x:v>
      </x:c>
      <x:c r="G9" s="26" t="n">
        <x:v>2214</x:v>
      </x:c>
      <x:c r="H9" s="26" t="n">
        <x:v>1188</x:v>
      </x:c>
      <x:c r="I9" s="26" t="n">
        <x:v>23481</x:v>
      </x:c>
      <x:c r="J9" s="28" t="n">
        <x:v>0.0473</x:v>
      </x:c>
      <x:c r="K9" s="30" t="str">
        <x:v>https://stockanalysis.com/quote/lon/BT.A/financials/</x:v>
      </x:c>
      <x:c r="L9" s="30" t="str">
        <x:v>https://www.bt.com/about/investors/financial-reporting-and-news/annual-reports</x:v>
      </x:c>
      <x:c r="M9" s="75" t="str">
        <x:v>Standardized public financial snapshot; official IR report registered for validation.</x:v>
      </x:c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  <x:c r="AA9" s="73"/>
    </x:row>
    <x:row r="10">
      <x:c r="A10" s="73" t="str">
        <x:v>BT Group</x:v>
      </x:c>
      <x:c r="B10" s="73" t="str">
        <x:v>BT.A</x:v>
      </x:c>
      <x:c r="C10" s="73" t="str">
        <x:v>Telecom</x:v>
      </x:c>
      <x:c r="D10" s="73" t="str">
        <x:v>GBP</x:v>
      </x:c>
      <x:c r="E10" s="24" t="n">
        <x:v>2025</x:v>
      </x:c>
      <x:c r="F10" s="26" t="n">
        <x:v>20358</x:v>
      </x:c>
      <x:c r="G10" s="26" t="n">
        <x:v>2492</x:v>
      </x:c>
      <x:c r="H10" s="26" t="n">
        <x:v>1301</x:v>
      </x:c>
      <x:c r="I10" s="26" t="n">
        <x:v>23333</x:v>
      </x:c>
      <x:c r="J10" s="28" t="n">
        <x:v>0.1008</x:v>
      </x:c>
      <x:c r="K10" s="30" t="str">
        <x:v>https://stockanalysis.com/quote/lon/BT.A/financials/</x:v>
      </x:c>
      <x:c r="L10" s="30" t="str">
        <x:v>https://www.bt.com/about/investors/financial-reporting-and-news/annual-reports</x:v>
      </x:c>
      <x:c r="M10" s="75" t="str">
        <x:v>Standardized public financial snapshot; official IR report registered for validation.</x:v>
      </x:c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  <x:c r="AA10" s="73"/>
    </x:row>
    <x:row r="11">
      <x:c r="A11" s="73" t="str">
        <x:v>BT Group</x:v>
      </x:c>
      <x:c r="B11" s="73" t="str">
        <x:v>BT.A</x:v>
      </x:c>
      <x:c r="C11" s="73" t="str">
        <x:v>Telecom</x:v>
      </x:c>
      <x:c r="D11" s="73" t="str">
        <x:v>GBP</x:v>
      </x:c>
      <x:c r="E11" s="24" t="n">
        <x:v>2026</x:v>
      </x:c>
      <x:c r="F11" s="26" t="n">
        <x:v>19654</x:v>
      </x:c>
      <x:c r="G11" s="26" t="n">
        <x:v>2897</x:v>
      </x:c>
      <x:c r="H11" s="26" t="n">
        <x:v>1397</x:v>
      </x:c>
      <x:c r="I11" s="26" t="n">
        <x:v>22720</x:v>
      </x:c>
      <x:c r="J11" s="28" t="n">
        <x:v>0.0947</x:v>
      </x:c>
      <x:c r="K11" s="30" t="str">
        <x:v>https://stockanalysis.com/quote/lon/BT.A/financials/</x:v>
      </x:c>
      <x:c r="L11" s="30" t="str">
        <x:v>https://www.bt.com/about/investors/financial-reporting-and-news/annual-reports</x:v>
      </x:c>
      <x:c r="M11" s="75" t="str">
        <x:v>Standardized public financial snapshot; official IR report registered for validation.</x:v>
      </x:c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  <x:c r="AA11" s="73"/>
    </x:row>
    <x:row r="12">
      <x:c r="A12" s="73" t="str">
        <x:v>Compass Group</x:v>
      </x:c>
      <x:c r="B12" s="73" t="str">
        <x:v>CPG</x:v>
      </x:c>
      <x:c r="C12" s="73" t="str">
        <x:v>Industrials &amp; Services</x:v>
      </x:c>
      <x:c r="D12" s="73" t="str">
        <x:v>USD</x:v>
      </x:c>
      <x:c r="E12" s="24" t="n">
        <x:v>2022</x:v>
      </x:c>
      <x:c r="F12" s="26" t="n">
        <x:v>28446</x:v>
      </x:c>
      <x:c r="G12" s="26" t="n">
        <x:v>1672</x:v>
      </x:c>
      <x:c r="H12" s="26" t="n">
        <x:v>123.76</x:v>
      </x:c>
      <x:c r="I12" s="26" t="n">
        <x:v>5438</x:v>
      </x:c>
      <x:c r="J12" s="28" t="n">
        <x:v>0.0515</x:v>
      </x:c>
      <x:c r="K12" s="30" t="str">
        <x:v>https://stockanalysis.com/quote/lon/CPG/financials/</x:v>
      </x:c>
      <x:c r="L12" s="30" t="str">
        <x:v>https://www.compass-group.com/en/investors/annual-report-2025.html</x:v>
      </x:c>
      <x:c r="M12" s="75" t="str">
        <x:v>Standardized public financial snapshot; official IR report registered for validation.</x:v>
      </x:c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  <x:c r="AA12" s="73"/>
    </x:row>
    <x:row r="13">
      <x:c r="A13" s="73" t="str">
        <x:v>Compass Group</x:v>
      </x:c>
      <x:c r="B13" s="73" t="str">
        <x:v>CPG</x:v>
      </x:c>
      <x:c r="C13" s="73" t="str">
        <x:v>Industrials &amp; Services</x:v>
      </x:c>
      <x:c r="D13" s="73" t="str">
        <x:v>USD</x:v>
      </x:c>
      <x:c r="E13" s="24" t="n">
        <x:v>2023</x:v>
      </x:c>
      <x:c r="F13" s="26" t="n">
        <x:v>37907</x:v>
      </x:c>
      <x:c r="G13" s="26" t="n">
        <x:v>2313</x:v>
      </x:c>
      <x:c r="H13" s="26" t="n">
        <x:v>225</x:v>
      </x:c>
      <x:c r="I13" s="26" t="n">
        <x:v>5267</x:v>
      </x:c>
      <x:c r="J13" s="28" t="n">
        <x:v>0.0552</x:v>
      </x:c>
      <x:c r="K13" s="30" t="str">
        <x:v>https://stockanalysis.com/quote/lon/CPG/financials/</x:v>
      </x:c>
      <x:c r="L13" s="30" t="str">
        <x:v>https://www.compass-group.com/en/investors/annual-report-2025.html</x:v>
      </x:c>
      <x:c r="M13" s="75" t="str">
        <x:v>Standardized public financial snapshot; official IR report registered for validation.</x:v>
      </x:c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  <x:c r="AA13" s="73"/>
    </x:row>
    <x:row r="14">
      <x:c r="A14" s="73" t="str">
        <x:v>Compass Group</x:v>
      </x:c>
      <x:c r="B14" s="73" t="str">
        <x:v>CPG</x:v>
      </x:c>
      <x:c r="C14" s="73" t="str">
        <x:v>Industrials &amp; Services</x:v>
      </x:c>
      <x:c r="D14" s="73" t="str">
        <x:v>USD</x:v>
      </x:c>
      <x:c r="E14" s="24" t="n">
        <x:v>2024</x:v>
      </x:c>
      <x:c r="F14" s="26" t="n">
        <x:v>42002</x:v>
      </x:c>
      <x:c r="G14" s="26" t="n">
        <x:v>2584</x:v>
      </x:c>
      <x:c r="H14" s="26" t="n">
        <x:v>393</x:v>
      </x:c>
      <x:c r="I14" s="26" t="n">
        <x:v>5911</x:v>
      </x:c>
      <x:c r="J14" s="28" t="n">
        <x:v>0.061</x:v>
      </x:c>
      <x:c r="K14" s="30" t="str">
        <x:v>https://stockanalysis.com/quote/lon/CPG/financials/</x:v>
      </x:c>
      <x:c r="L14" s="30" t="str">
        <x:v>https://www.compass-group.com/en/investors/annual-report-2025.html</x:v>
      </x:c>
      <x:c r="M14" s="75" t="str">
        <x:v>Standardized public financial snapshot; official IR report registered for validation.</x:v>
      </x:c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  <x:c r="AA14" s="73"/>
    </x:row>
    <x:row r="15">
      <x:c r="A15" s="73" t="str">
        <x:v>Compass Group</x:v>
      </x:c>
      <x:c r="B15" s="73" t="str">
        <x:v>CPG</x:v>
      </x:c>
      <x:c r="C15" s="73" t="str">
        <x:v>Industrials &amp; Services</x:v>
      </x:c>
      <x:c r="D15" s="73" t="str">
        <x:v>USD</x:v>
      </x:c>
      <x:c r="E15" s="24" t="n">
        <x:v>2025</x:v>
      </x:c>
      <x:c r="F15" s="26" t="n">
        <x:v>46070</x:v>
      </x:c>
      <x:c r="G15" s="26" t="n">
        <x:v>2964</x:v>
      </x:c>
      <x:c r="H15" s="26" t="n">
        <x:v>429</x:v>
      </x:c>
      <x:c r="I15" s="26" t="n">
        <x:v>6992</x:v>
      </x:c>
      <x:c r="J15" s="28" t="n">
        <x:v>0.0612</x:v>
      </x:c>
      <x:c r="K15" s="30" t="str">
        <x:v>https://stockanalysis.com/quote/lon/CPG/financials/</x:v>
      </x:c>
      <x:c r="L15" s="30" t="str">
        <x:v>https://www.compass-group.com/en/investors/annual-report-2025.html</x:v>
      </x:c>
      <x:c r="M15" s="75" t="str">
        <x:v>Standardized public financial snapshot; official IR report registered for validation.</x:v>
      </x:c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  <x:c r="AA15" s="73"/>
    </x:row>
    <x:row r="16">
      <x:c r="A16" s="73" t="str">
        <x:v>Diageo</x:v>
      </x:c>
      <x:c r="B16" s="73" t="str">
        <x:v>DGE</x:v>
      </x:c>
      <x:c r="C16" s="73" t="str">
        <x:v>Consumer &amp; Retail</x:v>
      </x:c>
      <x:c r="D16" s="73" t="str">
        <x:v>USD</x:v>
      </x:c>
      <x:c r="E16" s="24" t="n">
        <x:v>2023</x:v>
      </x:c>
      <x:c r="F16" s="26" t="n">
        <x:v>20555</x:v>
      </x:c>
      <x:c r="G16" s="26" t="n">
        <x:v>6366</x:v>
      </x:c>
      <x:c r="H16" s="26" t="n">
        <x:v>1059</x:v>
      </x:c>
      <x:c r="I16" s="26" t="n">
        <x:v>21831</x:v>
      </x:c>
      <x:c r="J16" s="28" t="n">
        <x:v>0.1079</x:v>
      </x:c>
      <x:c r="K16" s="30" t="str">
        <x:v>https://stockanalysis.com/quote/lon/DGE/financials/</x:v>
      </x:c>
      <x:c r="L16" s="30" t="str">
        <x:v>https://www.diageo.com/en/investors/results-reports-and-events/annual-report-2026</x:v>
      </x:c>
      <x:c r="M16" s="75" t="str">
        <x:v>Standardized public financial snapshot; official IR report registered for validation.</x:v>
      </x:c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  <x:c r="AA16" s="73"/>
    </x:row>
    <x:row r="17">
      <x:c r="A17" s="73" t="str">
        <x:v>Diageo</x:v>
      </x:c>
      <x:c r="B17" s="73" t="str">
        <x:v>DGE</x:v>
      </x:c>
      <x:c r="C17" s="73" t="str">
        <x:v>Consumer &amp; Retail</x:v>
      </x:c>
      <x:c r="D17" s="73" t="str">
        <x:v>USD</x:v>
      </x:c>
      <x:c r="E17" s="24" t="n">
        <x:v>2024</x:v>
      </x:c>
      <x:c r="F17" s="26" t="n">
        <x:v>20269</x:v>
      </x:c>
      <x:c r="G17" s="26" t="n">
        <x:v>5999</x:v>
      </x:c>
      <x:c r="H17" s="26" t="n">
        <x:v>1212</x:v>
      </x:c>
      <x:c r="I17" s="26" t="n">
        <x:v>22481</x:v>
      </x:c>
      <x:c r="J17" s="28" t="n">
        <x:v>0.128</x:v>
      </x:c>
      <x:c r="K17" s="30" t="str">
        <x:v>https://stockanalysis.com/quote/lon/DGE/financials/</x:v>
      </x:c>
      <x:c r="L17" s="30" t="str">
        <x:v>https://www.diageo.com/en/investors/results-reports-and-events/annual-report-2026</x:v>
      </x:c>
      <x:c r="M17" s="75" t="str">
        <x:v>Standardized public financial snapshot; official IR report registered for validation.</x:v>
      </x:c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  <x:c r="AA17" s="73"/>
    </x:row>
    <x:row r="18">
      <x:c r="A18" s="73" t="str">
        <x:v>Diageo</x:v>
      </x:c>
      <x:c r="B18" s="73" t="str">
        <x:v>DGE</x:v>
      </x:c>
      <x:c r="C18" s="73" t="str">
        <x:v>Consumer &amp; Retail</x:v>
      </x:c>
      <x:c r="D18" s="73" t="str">
        <x:v>USD</x:v>
      </x:c>
      <x:c r="E18" s="24" t="n">
        <x:v>2025</x:v>
      </x:c>
      <x:c r="F18" s="26" t="n">
        <x:v>20245</x:v>
      </x:c>
      <x:c r="G18" s="26" t="n">
        <x:v>5726</x:v>
      </x:c>
      <x:c r="H18" s="26" t="n">
        <x:v>1196</x:v>
      </x:c>
      <x:c r="I18" s="26" t="n">
        <x:v>24611</x:v>
      </x:c>
      <x:c r="J18" s="28" t="n">
        <x:v>0.1326</x:v>
      </x:c>
      <x:c r="K18" s="30" t="str">
        <x:v>https://stockanalysis.com/quote/lon/DGE/financials/</x:v>
      </x:c>
      <x:c r="L18" s="30" t="str">
        <x:v>https://www.diageo.com/en/investors/results-reports-and-events/annual-report-2026</x:v>
      </x:c>
      <x:c r="M18" s="75" t="str">
        <x:v>Standardized public financial snapshot; official IR report registered for validation.</x:v>
      </x:c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  <x:c r="AA18" s="73"/>
    </x:row>
    <x:row r="19">
      <x:c r="A19" s="73" t="str">
        <x:v>Diageo</x:v>
      </x:c>
      <x:c r="B19" s="73" t="str">
        <x:v>DGE</x:v>
      </x:c>
      <x:c r="C19" s="73" t="str">
        <x:v>Consumer &amp; Retail</x:v>
      </x:c>
      <x:c r="D19" s="73" t="str">
        <x:v>USD</x:v>
      </x:c>
      <x:c r="E19" s="24" t="n">
        <x:v>2026</x:v>
      </x:c>
      <x:c r="F19" s="26" t="n">
        <x:v>19643</x:v>
      </x:c>
      <x:c r="G19" s="26" t="n">
        <x:v>6174</x:v>
      </x:c>
      <x:c r="H19" s="26" t="n">
        <x:v>1123</x:v>
      </x:c>
      <x:c r="I19" s="26" t="n">
        <x:v>22307</x:v>
      </x:c>
      <x:c r="J19" s="28" t="n">
        <x:v>0.1478</x:v>
      </x:c>
      <x:c r="K19" s="30" t="str">
        <x:v>https://stockanalysis.com/quote/lon/DGE/financials/</x:v>
      </x:c>
      <x:c r="L19" s="30" t="str">
        <x:v>https://www.diageo.com/en/investors/results-reports-and-events/annual-report-2026</x:v>
      </x:c>
      <x:c r="M19" s="75" t="str">
        <x:v>Standardized public financial snapshot; official IR report registered for validation.</x:v>
      </x:c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  <x:c r="AA19" s="73"/>
    </x:row>
    <x:row r="20">
      <x:c r="A20" s="73" t="str">
        <x:v>GSK</x:v>
      </x:c>
      <x:c r="B20" s="73" t="str">
        <x:v>GSK</x:v>
      </x:c>
      <x:c r="C20" s="73" t="str">
        <x:v>Healthcare</x:v>
      </x:c>
      <x:c r="D20" s="73" t="str">
        <x:v>GBP</x:v>
      </x:c>
      <x:c r="E20" s="24" t="n">
        <x:v>2022</x:v>
      </x:c>
      <x:c r="F20" s="26" t="n">
        <x:v>29324</x:v>
      </x:c>
      <x:c r="G20" s="26" t="n">
        <x:v>7322</x:v>
      </x:c>
      <x:c r="H20" s="26" t="n">
        <x:v>819</x:v>
      </x:c>
      <x:c r="I20" s="26" t="n">
        <x:v>20987</x:v>
      </x:c>
      <x:c r="J20" s="28" t="n">
        <x:v>0.2135</x:v>
      </x:c>
      <x:c r="K20" s="30" t="str">
        <x:v>https://stockanalysis.com/quote/lon/GSK/financials/</x:v>
      </x:c>
      <x:c r="L20" s="30" t="str">
        <x:v>https://www.gsk.com/en-gb/investors/financial-reports/annual-report-2025/</x:v>
      </x:c>
      <x:c r="M20" s="75" t="str">
        <x:v>Standardized public financial snapshot; official IR report registered for validation.</x:v>
      </x:c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</x:row>
    <x:row r="21">
      <x:c r="A21" s="73" t="str">
        <x:v>GSK</x:v>
      </x:c>
      <x:c r="B21" s="73" t="str">
        <x:v>GSK</x:v>
      </x:c>
      <x:c r="C21" s="73" t="str">
        <x:v>Healthcare</x:v>
      </x:c>
      <x:c r="D21" s="73" t="str">
        <x:v>GBP</x:v>
      </x:c>
      <x:c r="E21" s="24" t="n">
        <x:v>2023</x:v>
      </x:c>
      <x:c r="F21" s="26" t="n">
        <x:v>30328</x:v>
      </x:c>
      <x:c r="G21" s="26" t="n">
        <x:v>8403</x:v>
      </x:c>
      <x:c r="H21" s="26" t="n">
        <x:v>710</x:v>
      </x:c>
      <x:c r="I21" s="26" t="n">
        <x:v>18018</x:v>
      </x:c>
      <x:c r="J21" s="28" t="n">
        <x:v>0.1798</x:v>
      </x:c>
      <x:c r="K21" s="30" t="str">
        <x:v>https://stockanalysis.com/quote/lon/GSK/financials/</x:v>
      </x:c>
      <x:c r="L21" s="30" t="str">
        <x:v>https://www.gsk.com/en-gb/investors/financial-reports/annual-report-2025/</x:v>
      </x:c>
      <x:c r="M21" s="75" t="str">
        <x:v>Standardized public financial snapshot; official IR report registered for validation.</x:v>
      </x:c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  <x:c r="AA21" s="73"/>
    </x:row>
    <x:row r="22">
      <x:c r="A22" s="73" t="str">
        <x:v>GSK</x:v>
      </x:c>
      <x:c r="B22" s="73" t="str">
        <x:v>GSK</x:v>
      </x:c>
      <x:c r="C22" s="73" t="str">
        <x:v>Healthcare</x:v>
      </x:c>
      <x:c r="D22" s="73" t="str">
        <x:v>GBP</x:v>
      </x:c>
      <x:c r="E22" s="24" t="n">
        <x:v>2024</x:v>
      </x:c>
      <x:c r="F22" s="26" t="n">
        <x:v>31376</x:v>
      </x:c>
      <x:c r="G22" s="26" t="n">
        <x:v>6190</x:v>
      </x:c>
      <x:c r="H22" s="26" t="n">
        <x:v>615</x:v>
      </x:c>
      <x:c r="I22" s="26" t="n">
        <x:v>16986</x:v>
      </x:c>
      <x:c r="J22" s="28" t="n">
        <x:v>0.1643</x:v>
      </x:c>
      <x:c r="K22" s="30" t="str">
        <x:v>https://stockanalysis.com/quote/lon/GSK/financials/</x:v>
      </x:c>
      <x:c r="L22" s="30" t="str">
        <x:v>https://www.gsk.com/en-gb/investors/financial-reports/annual-report-2025/</x:v>
      </x:c>
      <x:c r="M22" s="75" t="str">
        <x:v>Standardized public financial snapshot; official IR report registered for validation.</x:v>
      </x:c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  <x:c r="AA22" s="73"/>
    </x:row>
    <x:row r="23">
      <x:c r="A23" s="73" t="str">
        <x:v>GSK</x:v>
      </x:c>
      <x:c r="B23" s="73" t="str">
        <x:v>GSK</x:v>
      </x:c>
      <x:c r="C23" s="73" t="str">
        <x:v>Healthcare</x:v>
      </x:c>
      <x:c r="D23" s="73" t="str">
        <x:v>GBP</x:v>
      </x:c>
      <x:c r="E23" s="24" t="n">
        <x:v>2025</x:v>
      </x:c>
      <x:c r="F23" s="26" t="n">
        <x:v>32667</x:v>
      </x:c>
      <x:c r="G23" s="26" t="n">
        <x:v>9447</x:v>
      </x:c>
      <x:c r="H23" s="26" t="n">
        <x:v>658</x:v>
      </x:c>
      <x:c r="I23" s="26" t="n">
        <x:v>17787</x:v>
      </x:c>
      <x:c r="J23" s="28" t="n">
        <x:v>0.1957</x:v>
      </x:c>
      <x:c r="K23" s="30" t="str">
        <x:v>https://stockanalysis.com/quote/lon/GSK/financials/</x:v>
      </x:c>
      <x:c r="L23" s="30" t="str">
        <x:v>https://www.gsk.com/en-gb/investors/financial-reports/annual-report-2025/</x:v>
      </x:c>
      <x:c r="M23" s="75" t="str">
        <x:v>Standardized public financial snapshot; official IR report registered for validation.</x:v>
      </x:c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  <x:c r="AA23" s="73"/>
    </x:row>
    <x:row r="24">
      <x:c r="A24" s="73" t="str">
        <x:v>National Grid</x:v>
      </x:c>
      <x:c r="B24" s="73" t="str">
        <x:v>NG</x:v>
      </x:c>
      <x:c r="C24" s="73" t="str">
        <x:v>Utilities</x:v>
      </x:c>
      <x:c r="D24" s="73" t="str">
        <x:v>GBP</x:v>
      </x:c>
      <x:c r="E24" s="24" t="n">
        <x:v>2023</x:v>
      </x:c>
      <x:c r="F24" s="26" t="n">
        <x:v>21659</x:v>
      </x:c>
      <x:c r="G24" s="26" t="n">
        <x:v>4205</x:v>
      </x:c>
      <x:c r="H24" s="26" t="n">
        <x:v>1592</x:v>
      </x:c>
      <x:c r="I24" s="26" t="n">
        <x:v>44104</x:v>
      </x:c>
      <x:c r="J24" s="28" t="n">
        <x:v>0.0265</x:v>
      </x:c>
      <x:c r="K24" s="30" t="str">
        <x:v>https://stockanalysis.com/quote/lon/NG/financials/</x:v>
      </x:c>
      <x:c r="L24" s="30" t="str">
        <x:v>https://www.nationalgrid.com/investors/resources/reports-plc</x:v>
      </x:c>
      <x:c r="M24" s="75" t="str">
        <x:v>Standardized public financial snapshot; official IR report registered for validation.</x:v>
      </x:c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  <x:c r="AA24" s="73"/>
    </x:row>
    <x:row r="25">
      <x:c r="A25" s="73" t="str">
        <x:v>National Grid</x:v>
      </x:c>
      <x:c r="B25" s="73" t="str">
        <x:v>NG</x:v>
      </x:c>
      <x:c r="C25" s="73" t="str">
        <x:v>Utilities</x:v>
      </x:c>
      <x:c r="D25" s="73" t="str">
        <x:v>GBP</x:v>
      </x:c>
      <x:c r="E25" s="24" t="n">
        <x:v>2024</x:v>
      </x:c>
      <x:c r="F25" s="26" t="n">
        <x:v>19850</x:v>
      </x:c>
      <x:c r="G25" s="26" t="n">
        <x:v>5586</x:v>
      </x:c>
      <x:c r="H25" s="26" t="n">
        <x:v>1621</x:v>
      </x:c>
      <x:c r="I25" s="26" t="n">
        <x:v>48198</x:v>
      </x:c>
      <x:c r="J25" s="28" t="n">
        <x:v>0.0018</x:v>
      </x:c>
      <x:c r="K25" s="30" t="str">
        <x:v>https://stockanalysis.com/quote/lon/NG/financials/</x:v>
      </x:c>
      <x:c r="L25" s="30" t="str">
        <x:v>https://www.nationalgrid.com/investors/resources/reports-plc</x:v>
      </x:c>
      <x:c r="M25" s="75" t="str">
        <x:v>Standardized public financial snapshot; official IR report registered for validation.</x:v>
      </x:c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  <x:c r="AA25" s="73"/>
    </x:row>
    <x:row r="26">
      <x:c r="A26" s="73" t="str">
        <x:v>National Grid</x:v>
      </x:c>
      <x:c r="B26" s="73" t="str">
        <x:v>NG</x:v>
      </x:c>
      <x:c r="C26" s="73" t="str">
        <x:v>Utilities</x:v>
      </x:c>
      <x:c r="D26" s="73" t="str">
        <x:v>GBP</x:v>
      </x:c>
      <x:c r="E26" s="24" t="n">
        <x:v>2025</x:v>
      </x:c>
      <x:c r="F26" s="26" t="n">
        <x:v>18378</x:v>
      </x:c>
      <x:c r="G26" s="26" t="n">
        <x:v>4990</x:v>
      </x:c>
      <x:c r="H26" s="26" t="n">
        <x:v>1680</x:v>
      </x:c>
      <x:c r="I26" s="26" t="n">
        <x:v>48677</x:v>
      </x:c>
      <x:c r="J26" s="28" t="n">
        <x:v>-0.1073</x:v>
      </x:c>
      <x:c r="K26" s="30" t="str">
        <x:v>https://stockanalysis.com/quote/lon/NG/financials/</x:v>
      </x:c>
      <x:c r="L26" s="30" t="str">
        <x:v>https://www.nationalgrid.com/investors/resources/reports-plc</x:v>
      </x:c>
      <x:c r="M26" s="75" t="str">
        <x:v>Standardized public financial snapshot; official IR report registered for validation.</x:v>
      </x:c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  <x:c r="AA26" s="73"/>
    </x:row>
    <x:row r="27">
      <x:c r="A27" s="73" t="str">
        <x:v>National Grid</x:v>
      </x:c>
      <x:c r="B27" s="73" t="str">
        <x:v>NG</x:v>
      </x:c>
      <x:c r="C27" s="73" t="str">
        <x:v>Utilities</x:v>
      </x:c>
      <x:c r="D27" s="73" t="str">
        <x:v>GBP</x:v>
      </x:c>
      <x:c r="E27" s="24" t="n">
        <x:v>2026</x:v>
      </x:c>
      <x:c r="F27" s="26" t="n">
        <x:v>17687</x:v>
      </x:c>
      <x:c r="G27" s="26" t="n">
        <x:v>5169</x:v>
      </x:c>
      <x:c r="H27" s="26" t="n">
        <x:v>1526</x:v>
      </x:c>
      <x:c r="I27" s="26" t="n">
        <x:v>47705</x:v>
      </x:c>
      <x:c r="J27" s="28" t="n">
        <x:v>-0.1221</x:v>
      </x:c>
      <x:c r="K27" s="30" t="str">
        <x:v>https://stockanalysis.com/quote/lon/NG/financials/</x:v>
      </x:c>
      <x:c r="L27" s="30" t="str">
        <x:v>https://www.nationalgrid.com/investors/resources/reports-plc</x:v>
      </x:c>
      <x:c r="M27" s="75" t="str">
        <x:v>Standardized public financial snapshot; official IR report registered for validation.</x:v>
      </x:c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  <x:c r="AA27" s="73"/>
    </x:row>
    <x:row r="28">
      <x:c r="A28" s="73" t="str">
        <x:v>RELX</x:v>
      </x:c>
      <x:c r="B28" s="73" t="str">
        <x:v>REL</x:v>
      </x:c>
      <x:c r="C28" s="73" t="str">
        <x:v>Industrials &amp; Services</x:v>
      </x:c>
      <x:c r="D28" s="73" t="str">
        <x:v>GBP</x:v>
      </x:c>
      <x:c r="E28" s="24" t="n">
        <x:v>2022</x:v>
      </x:c>
      <x:c r="F28" s="26" t="n">
        <x:v>8553</x:v>
      </x:c>
      <x:c r="G28" s="26" t="n">
        <x:v>2299</x:v>
      </x:c>
      <x:c r="H28" s="26" t="n">
        <x:v>194</x:v>
      </x:c>
      <x:c r="I28" s="26" t="n">
        <x:v>6730</x:v>
      </x:c>
      <x:c r="J28" s="28" t="n">
        <x:v>0.2765</x:v>
      </x:c>
      <x:c r="K28" s="30" t="str">
        <x:v>https://stockanalysis.com/quote/lon/REL/financials/</x:v>
      </x:c>
      <x:c r="L28" s="30" t="str">
        <x:v>https://www.relx.com/investors/annual-reports/2025</x:v>
      </x:c>
      <x:c r="M28" s="75" t="str">
        <x:v>Standardized financial snapshot; RELX interest-cost series supplemented with company-reported adjusted net interest data.</x:v>
      </x:c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  <x:c r="AA28" s="73"/>
    </x:row>
    <x:row r="29">
      <x:c r="A29" s="73" t="str">
        <x:v>RELX</x:v>
      </x:c>
      <x:c r="B29" s="73" t="str">
        <x:v>REL</x:v>
      </x:c>
      <x:c r="C29" s="73" t="str">
        <x:v>Industrials &amp; Services</x:v>
      </x:c>
      <x:c r="D29" s="73" t="str">
        <x:v>GBP</x:v>
      </x:c>
      <x:c r="E29" s="24" t="n">
        <x:v>2023</x:v>
      </x:c>
      <x:c r="F29" s="26" t="n">
        <x:v>9161</x:v>
      </x:c>
      <x:c r="G29" s="26" t="n">
        <x:v>2635</x:v>
      </x:c>
      <x:c r="H29" s="26" t="n">
        <x:v>314</x:v>
      </x:c>
      <x:c r="I29" s="26" t="n">
        <x:v>6497</x:v>
      </x:c>
      <x:c r="J29" s="28" t="n">
        <x:v>0.2649</x:v>
      </x:c>
      <x:c r="K29" s="30" t="str">
        <x:v>https://stockanalysis.com/quote/lon/REL/financials/</x:v>
      </x:c>
      <x:c r="L29" s="30" t="str">
        <x:v>https://www.relx.com/investors/annual-reports/2025</x:v>
      </x:c>
      <x:c r="M29" s="75" t="str">
        <x:v>Standardized financial snapshot; RELX interest-cost series supplemented with company-reported adjusted net interest data.</x:v>
      </x:c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  <x:c r="AA29" s="73"/>
    </x:row>
    <x:row r="30">
      <x:c r="A30" s="73" t="str">
        <x:v>RELX</x:v>
      </x:c>
      <x:c r="B30" s="73" t="str">
        <x:v>REL</x:v>
      </x:c>
      <x:c r="C30" s="73" t="str">
        <x:v>Industrials &amp; Services</x:v>
      </x:c>
      <x:c r="D30" s="73" t="str">
        <x:v>GBP</x:v>
      </x:c>
      <x:c r="E30" s="24" t="n">
        <x:v>2024</x:v>
      </x:c>
      <x:c r="F30" s="26" t="n">
        <x:v>9434</x:v>
      </x:c>
      <x:c r="G30" s="26" t="n">
        <x:v>2817</x:v>
      </x:c>
      <x:c r="H30" s="26" t="n">
        <x:v>296</x:v>
      </x:c>
      <x:c r="I30" s="26" t="n">
        <x:v>6544</x:v>
      </x:c>
      <x:c r="J30" s="28" t="n">
        <x:v>0.2743</x:v>
      </x:c>
      <x:c r="K30" s="30" t="str">
        <x:v>https://stockanalysis.com/quote/lon/REL/financials/</x:v>
      </x:c>
      <x:c r="L30" s="30" t="str">
        <x:v>https://www.relx.com/investors/annual-reports/2025</x:v>
      </x:c>
      <x:c r="M30" s="75" t="str">
        <x:v>Standardized financial snapshot; RELX interest-cost series supplemented with company-reported adjusted net interest data.</x:v>
      </x:c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  <x:c r="AA30" s="73"/>
    </x:row>
    <x:row r="31">
      <x:c r="A31" s="73" t="str">
        <x:v>RELX</x:v>
      </x:c>
      <x:c r="B31" s="73" t="str">
        <x:v>REL</x:v>
      </x:c>
      <x:c r="C31" s="73" t="str">
        <x:v>Industrials &amp; Services</x:v>
      </x:c>
      <x:c r="D31" s="73" t="str">
        <x:v>GBP</x:v>
      </x:c>
      <x:c r="E31" s="24" t="n">
        <x:v>2025</x:v>
      </x:c>
      <x:c r="F31" s="26" t="n">
        <x:v>9590</x:v>
      </x:c>
      <x:c r="G31" s="26" t="n">
        <x:v>2986</x:v>
      </x:c>
      <x:c r="H31" s="26" t="n">
        <x:v>283</x:v>
      </x:c>
      <x:c r="I31" s="26" t="n">
        <x:v>7267</x:v>
      </x:c>
      <x:c r="J31" s="28" t="n">
        <x:v>0.2935</x:v>
      </x:c>
      <x:c r="K31" s="30" t="str">
        <x:v>https://stockanalysis.com/quote/lon/REL/financials/</x:v>
      </x:c>
      <x:c r="L31" s="30" t="str">
        <x:v>https://www.relx.com/investors/annual-reports/2025</x:v>
      </x:c>
      <x:c r="M31" s="75" t="str">
        <x:v>Standardized financial snapshot; RELX interest-cost series supplemented with company-reported adjusted net interest data.</x:v>
      </x:c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  <x:c r="AA31" s="73"/>
    </x:row>
    <x:row r="32">
      <x:c r="A32" s="73" t="str">
        <x:v>Rentokil Initial</x:v>
      </x:c>
      <x:c r="B32" s="73" t="str">
        <x:v>RTO</x:v>
      </x:c>
      <x:c r="C32" s="73" t="str">
        <x:v>Industrials &amp; Services</x:v>
      </x:c>
      <x:c r="D32" s="73" t="str">
        <x:v>USD</x:v>
      </x:c>
      <x:c r="E32" s="24" t="n">
        <x:v>2022</x:v>
      </x:c>
      <x:c r="F32" s="26" t="n">
        <x:v>4475</x:v>
      </x:c>
      <x:c r="G32" s="26" t="n">
        <x:v>590.4</x:v>
      </x:c>
      <x:c r="H32" s="26" t="n">
        <x:v>89.16</x:v>
      </x:c>
      <x:c r="I32" s="26" t="n">
        <x:v>6592</x:v>
      </x:c>
      <x:c r="J32" s="28" t="n">
        <x:v>0.1204</x:v>
      </x:c>
      <x:c r="K32" s="30" t="str">
        <x:v>https://stockanalysis.com/quote/lon/RTO/financials/</x:v>
      </x:c>
      <x:c r="L32" s="30" t="str">
        <x:v>https://www.rentokil-initial.com/investors/annual-reports</x:v>
      </x:c>
      <x:c r="M32" s="75" t="str">
        <x:v>Standardized public financial snapshot; official IR report registered for validation.</x:v>
      </x:c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  <x:c r="AA32" s="73"/>
    </x:row>
    <x:row r="33">
      <x:c r="A33" s="73" t="str">
        <x:v>Rentokil Initial</x:v>
      </x:c>
      <x:c r="B33" s="73" t="str">
        <x:v>RTO</x:v>
      </x:c>
      <x:c r="C33" s="73" t="str">
        <x:v>Industrials &amp; Services</x:v>
      </x:c>
      <x:c r="D33" s="73" t="str">
        <x:v>USD</x:v>
      </x:c>
      <x:c r="E33" s="24" t="n">
        <x:v>2023</x:v>
      </x:c>
      <x:c r="F33" s="26" t="n">
        <x:v>6385</x:v>
      </x:c>
      <x:c r="G33" s="26" t="n">
        <x:v>855</x:v>
      </x:c>
      <x:c r="H33" s="26" t="n">
        <x:v>214</x:v>
      </x:c>
      <x:c r="I33" s="26" t="n">
        <x:v>6088</x:v>
      </x:c>
      <x:c r="J33" s="28" t="n">
        <x:v>0.111</x:v>
      </x:c>
      <x:c r="K33" s="30" t="str">
        <x:v>https://stockanalysis.com/quote/lon/RTO/financials/</x:v>
      </x:c>
      <x:c r="L33" s="30" t="str">
        <x:v>https://www.rentokil-initial.com/investors/annual-reports</x:v>
      </x:c>
      <x:c r="M33" s="75" t="str">
        <x:v>Standardized public financial snapshot; official IR report registered for validation.</x:v>
      </x:c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  <x:c r="AA33" s="73"/>
    </x:row>
    <x:row r="34">
      <x:c r="A34" s="73" t="str">
        <x:v>Rentokil Initial</x:v>
      </x:c>
      <x:c r="B34" s="73" t="str">
        <x:v>RTO</x:v>
      </x:c>
      <x:c r="C34" s="73" t="str">
        <x:v>Industrials &amp; Services</x:v>
      </x:c>
      <x:c r="D34" s="73" t="str">
        <x:v>USD</x:v>
      </x:c>
      <x:c r="E34" s="24" t="n">
        <x:v>2024</x:v>
      </x:c>
      <x:c r="F34" s="26" t="n">
        <x:v>6617</x:v>
      </x:c>
      <x:c r="G34" s="26" t="n">
        <x:v>763</x:v>
      </x:c>
      <x:c r="H34" s="26" t="n">
        <x:v>229</x:v>
      </x:c>
      <x:c r="I34" s="26" t="n">
        <x:v>5184</x:v>
      </x:c>
      <x:c r="J34" s="28" t="n">
        <x:v>0.0981</x:v>
      </x:c>
      <x:c r="K34" s="30" t="str">
        <x:v>https://stockanalysis.com/quote/lon/RTO/financials/</x:v>
      </x:c>
      <x:c r="L34" s="30" t="str">
        <x:v>https://www.rentokil-initial.com/investors/annual-reports</x:v>
      </x:c>
      <x:c r="M34" s="75" t="str">
        <x:v>Standardized public financial snapshot; official IR report registered for validation.</x:v>
      </x:c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  <x:c r="AA34" s="73"/>
    </x:row>
    <x:row r="35">
      <x:c r="A35" s="73" t="str">
        <x:v>Rentokil Initial</x:v>
      </x:c>
      <x:c r="B35" s="73" t="str">
        <x:v>RTO</x:v>
      </x:c>
      <x:c r="C35" s="73" t="str">
        <x:v>Industrials &amp; Services</x:v>
      </x:c>
      <x:c r="D35" s="73" t="str">
        <x:v>USD</x:v>
      </x:c>
      <x:c r="E35" s="24" t="n">
        <x:v>2025</x:v>
      </x:c>
      <x:c r="F35" s="26" t="n">
        <x:v>6908</x:v>
      </x:c>
      <x:c r="G35" s="26" t="n">
        <x:v>877</x:v>
      </x:c>
      <x:c r="H35" s="26" t="n">
        <x:v>237</x:v>
      </x:c>
      <x:c r="I35" s="26" t="n">
        <x:v>6153</x:v>
      </x:c>
      <x:c r="J35" s="28" t="n">
        <x:v>0.1106</x:v>
      </x:c>
      <x:c r="K35" s="30" t="str">
        <x:v>https://stockanalysis.com/quote/lon/RTO/financials/</x:v>
      </x:c>
      <x:c r="L35" s="30" t="str">
        <x:v>https://www.rentokil-initial.com/investors/annual-reports</x:v>
      </x:c>
      <x:c r="M35" s="75" t="str">
        <x:v>Standardized public financial snapshot; official IR report registered for validation.</x:v>
      </x:c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  <x:c r="AA35" s="73"/>
    </x:row>
    <x:row r="36">
      <x:c r="A36" s="73" t="str">
        <x:v>Rolls-Royce</x:v>
      </x:c>
      <x:c r="B36" s="73" t="str">
        <x:v>RR</x:v>
      </x:c>
      <x:c r="C36" s="73" t="str">
        <x:v>Industrials &amp; Services</x:v>
      </x:c>
      <x:c r="D36" s="73" t="str">
        <x:v>GBP</x:v>
      </x:c>
      <x:c r="E36" s="24" t="n">
        <x:v>2022</x:v>
      </x:c>
      <x:c r="F36" s="26" t="n">
        <x:v>13520</x:v>
      </x:c>
      <x:c r="G36" s="26" t="n">
        <x:v>837</x:v>
      </x:c>
      <x:c r="H36" s="26" t="n">
        <x:v>2775</x:v>
      </x:c>
      <x:c r="I36" s="26" t="n">
        <x:v>10201</x:v>
      </x:c>
      <x:c r="J36" s="28" t="n">
        <x:v>0.0862</x:v>
      </x:c>
      <x:c r="K36" s="30" t="str">
        <x:v>https://stockanalysis.com/quote/lon/RR/financials/</x:v>
      </x:c>
      <x:c r="L36" s="30" t="str">
        <x:v>https://www.rolls-royce.com/investors/results-reports-and-presentations/annual-report-2025.aspx</x:v>
      </x:c>
      <x:c r="M36" s="75" t="str">
        <x:v>Standardized public financial snapshot; official IR report registered for validation.</x:v>
      </x:c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  <x:c r="AA36" s="73"/>
    </x:row>
    <x:row r="37">
      <x:c r="A37" s="73" t="str">
        <x:v>Rolls-Royce</x:v>
      </x:c>
      <x:c r="B37" s="73" t="str">
        <x:v>RR</x:v>
      </x:c>
      <x:c r="C37" s="73" t="str">
        <x:v>Industrials &amp; Services</x:v>
      </x:c>
      <x:c r="D37" s="73" t="str">
        <x:v>GBP</x:v>
      </x:c>
      <x:c r="E37" s="24" t="n">
        <x:v>2023</x:v>
      </x:c>
      <x:c r="F37" s="26" t="n">
        <x:v>16486</x:v>
      </x:c>
      <x:c r="G37" s="26" t="n">
        <x:v>1944</x:v>
      </x:c>
      <x:c r="H37" s="26" t="n">
        <x:v>681</x:v>
      </x:c>
      <x:c r="I37" s="26" t="n">
        <x:v>8190</x:v>
      </x:c>
      <x:c r="J37" s="28" t="n">
        <x:v>0.1247</x:v>
      </x:c>
      <x:c r="K37" s="30" t="str">
        <x:v>https://stockanalysis.com/quote/lon/RR/financials/</x:v>
      </x:c>
      <x:c r="L37" s="30" t="str">
        <x:v>https://www.rolls-royce.com/investors/results-reports-and-presentations/annual-report-2025.aspx</x:v>
      </x:c>
      <x:c r="M37" s="75" t="str">
        <x:v>Standardized public financial snapshot; official IR report registered for validation.</x:v>
      </x:c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  <x:c r="AA37" s="73"/>
    </x:row>
    <x:row r="38">
      <x:c r="A38" s="73" t="str">
        <x:v>Rolls-Royce</x:v>
      </x:c>
      <x:c r="B38" s="73" t="str">
        <x:v>RR</x:v>
      </x:c>
      <x:c r="C38" s="73" t="str">
        <x:v>Industrials &amp; Services</x:v>
      </x:c>
      <x:c r="D38" s="73" t="str">
        <x:v>GBP</x:v>
      </x:c>
      <x:c r="E38" s="24" t="n">
        <x:v>2024</x:v>
      </x:c>
      <x:c r="F38" s="26" t="n">
        <x:v>18909</x:v>
      </x:c>
      <x:c r="G38" s="26" t="n">
        <x:v>2906</x:v>
      </x:c>
      <x:c r="H38" s="26" t="n">
        <x:v>1224</x:v>
      </x:c>
      <x:c r="I38" s="26" t="n">
        <x:v>7414</x:v>
      </x:c>
      <x:c r="J38" s="28" t="n">
        <x:v>0.1726</x:v>
      </x:c>
      <x:c r="K38" s="30" t="str">
        <x:v>https://stockanalysis.com/quote/lon/RR/financials/</x:v>
      </x:c>
      <x:c r="L38" s="30" t="str">
        <x:v>https://www.rolls-royce.com/investors/results-reports-and-presentations/annual-report-2025.aspx</x:v>
      </x:c>
      <x:c r="M38" s="75" t="str">
        <x:v>Standardized public financial snapshot; official IR report registered for validation.</x:v>
      </x:c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  <x:c r="AA38" s="73"/>
    </x:row>
    <x:row r="39">
      <x:c r="A39" s="73" t="str">
        <x:v>Rolls-Royce</x:v>
      </x:c>
      <x:c r="B39" s="73" t="str">
        <x:v>RR</x:v>
      </x:c>
      <x:c r="C39" s="73" t="str">
        <x:v>Industrials &amp; Services</x:v>
      </x:c>
      <x:c r="D39" s="73" t="str">
        <x:v>GBP</x:v>
      </x:c>
      <x:c r="E39" s="24" t="n">
        <x:v>2025</x:v>
      </x:c>
      <x:c r="F39" s="26" t="n">
        <x:v>21207</x:v>
      </x:c>
      <x:c r="G39" s="26" t="n">
        <x:v>4468</x:v>
      </x:c>
      <x:c r="H39" s="26" t="n">
        <x:v>479</x:v>
      </x:c>
      <x:c r="I39" s="26" t="n">
        <x:v>5192</x:v>
      </x:c>
      <x:c r="J39" s="28" t="n">
        <x:v>0.186</x:v>
      </x:c>
      <x:c r="K39" s="30" t="str">
        <x:v>https://stockanalysis.com/quote/lon/RR/financials/</x:v>
      </x:c>
      <x:c r="L39" s="30" t="str">
        <x:v>https://www.rolls-royce.com/investors/results-reports-and-presentations/annual-report-2025.aspx</x:v>
      </x:c>
      <x:c r="M39" s="75" t="str">
        <x:v>Standardized public financial snapshot; official IR report registered for validation.</x:v>
      </x:c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  <x:c r="AA39" s="73"/>
    </x:row>
    <x:row r="40">
      <x:c r="A40" s="73" t="str">
        <x:v>SSE</x:v>
      </x:c>
      <x:c r="B40" s="73" t="str">
        <x:v>SSE</x:v>
      </x:c>
      <x:c r="C40" s="73" t="str">
        <x:v>Utilities</x:v>
      </x:c>
      <x:c r="D40" s="73" t="str">
        <x:v>GBP</x:v>
      </x:c>
      <x:c r="E40" s="24" t="n">
        <x:v>2023</x:v>
      </x:c>
      <x:c r="F40" s="26" t="n">
        <x:v>12491</x:v>
      </x:c>
      <x:c r="G40" s="26" t="n">
        <x:v>-146.3</x:v>
      </x:c>
      <x:c r="H40" s="26" t="n">
        <x:v>396.7</x:v>
      </x:c>
      <x:c r="I40" s="26" t="n">
        <x:v>9060</x:v>
      </x:c>
      <x:c r="J40" s="28" t="n">
        <x:v>0.0011</x:v>
      </x:c>
      <x:c r="K40" s="30" t="str">
        <x:v>https://stockanalysis.com/quote/lon/SSE/financials/</x:v>
      </x:c>
      <x:c r="L40" s="30" t="str">
        <x:v>https://www.sse.com/investors/annual-report-2026/</x:v>
      </x:c>
      <x:c r="M40" s="75" t="str">
        <x:v>Standardized public financial snapshot; official IR report registered for validation.</x:v>
      </x:c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  <x:c r="AA40" s="73"/>
    </x:row>
    <x:row r="41">
      <x:c r="A41" s="73" t="str">
        <x:v>SSE</x:v>
      </x:c>
      <x:c r="B41" s="73" t="str">
        <x:v>SSE</x:v>
      </x:c>
      <x:c r="C41" s="73" t="str">
        <x:v>Utilities</x:v>
      </x:c>
      <x:c r="D41" s="73" t="str">
        <x:v>GBP</x:v>
      </x:c>
      <x:c r="E41" s="24" t="n">
        <x:v>2024</x:v>
      </x:c>
      <x:c r="F41" s="26" t="n">
        <x:v>10457</x:v>
      </x:c>
      <x:c r="G41" s="26" t="n">
        <x:v>2608</x:v>
      </x:c>
      <x:c r="H41" s="26" t="n">
        <x:v>318.3</x:v>
      </x:c>
      <x:c r="I41" s="26" t="n">
        <x:v>9134</x:v>
      </x:c>
      <x:c r="J41" s="28" t="n">
        <x:v>0.1807</x:v>
      </x:c>
      <x:c r="K41" s="30" t="str">
        <x:v>https://stockanalysis.com/quote/lon/SSE/financials/</x:v>
      </x:c>
      <x:c r="L41" s="30" t="str">
        <x:v>https://www.sse.com/investors/annual-report-2026/</x:v>
      </x:c>
      <x:c r="M41" s="75" t="str">
        <x:v>Standardized public financial snapshot; official IR report registered for validation.</x:v>
      </x:c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  <x:c r="AA41" s="73"/>
    </x:row>
    <x:row r="42">
      <x:c r="A42" s="73" t="str">
        <x:v>SSE</x:v>
      </x:c>
      <x:c r="B42" s="73" t="str">
        <x:v>SSE</x:v>
      </x:c>
      <x:c r="C42" s="73" t="str">
        <x:v>Utilities</x:v>
      </x:c>
      <x:c r="D42" s="73" t="str">
        <x:v>GBP</x:v>
      </x:c>
      <x:c r="E42" s="24" t="n">
        <x:v>2025</x:v>
      </x:c>
      <x:c r="F42" s="26" t="n">
        <x:v>10132</x:v>
      </x:c>
      <x:c r="G42" s="26" t="n">
        <x:v>1962</x:v>
      </x:c>
      <x:c r="H42" s="26" t="n">
        <x:v>319.2</x:v>
      </x:c>
      <x:c r="I42" s="26" t="n">
        <x:v>10604</x:v>
      </x:c>
      <x:c r="J42" s="28" t="n">
        <x:v>-0.021</x:v>
      </x:c>
      <x:c r="K42" s="30" t="str">
        <x:v>https://stockanalysis.com/quote/lon/SSE/financials/</x:v>
      </x:c>
      <x:c r="L42" s="30" t="str">
        <x:v>https://www.sse.com/investors/annual-report-2026/</x:v>
      </x:c>
      <x:c r="M42" s="75" t="str">
        <x:v>Standardized public financial snapshot; official IR report registered for validation.</x:v>
      </x:c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  <x:c r="AA42" s="73"/>
    </x:row>
    <x:row r="43">
      <x:c r="A43" s="73" t="str">
        <x:v>SSE</x:v>
      </x:c>
      <x:c r="B43" s="73" t="str">
        <x:v>SSE</x:v>
      </x:c>
      <x:c r="C43" s="73" t="str">
        <x:v>Utilities</x:v>
      </x:c>
      <x:c r="D43" s="73" t="str">
        <x:v>GBP</x:v>
      </x:c>
      <x:c r="E43" s="24" t="n">
        <x:v>2026</x:v>
      </x:c>
      <x:c r="F43" s="26" t="n">
        <x:v>10187</x:v>
      </x:c>
      <x:c r="G43" s="26" t="n">
        <x:v>1889</x:v>
      </x:c>
      <x:c r="H43" s="26" t="n">
        <x:v>310.4</x:v>
      </x:c>
      <x:c r="I43" s="26" t="n">
        <x:v>10121</x:v>
      </x:c>
      <x:c r="J43" s="28" t="n">
        <x:v>-0.0699</x:v>
      </x:c>
      <x:c r="K43" s="30" t="str">
        <x:v>https://stockanalysis.com/quote/lon/SSE/financials/</x:v>
      </x:c>
      <x:c r="L43" s="30" t="str">
        <x:v>https://www.sse.com/investors/annual-report-2026/</x:v>
      </x:c>
      <x:c r="M43" s="75" t="str">
        <x:v>Standardized public financial snapshot; official IR report registered for validation.</x:v>
      </x:c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  <x:c r="AA43" s="73"/>
    </x:row>
    <x:row r="44">
      <x:c r="A44" s="73" t="str">
        <x:v>Smith &amp; Nephew</x:v>
      </x:c>
      <x:c r="B44" s="73" t="str">
        <x:v>SN</x:v>
      </x:c>
      <x:c r="C44" s="73" t="str">
        <x:v>Healthcare</x:v>
      </x:c>
      <x:c r="D44" s="73" t="str">
        <x:v>USD</x:v>
      </x:c>
      <x:c r="E44" s="24" t="n">
        <x:v>2022</x:v>
      </x:c>
      <x:c r="F44" s="26" t="n">
        <x:v>5215</x:v>
      </x:c>
      <x:c r="G44" s="26" t="n">
        <x:v>658</x:v>
      </x:c>
      <x:c r="H44" s="26" t="n">
        <x:v>80</x:v>
      </x:c>
      <x:c r="I44" s="26" t="n">
        <x:v>2872</x:v>
      </x:c>
      <x:c r="J44" s="28" t="n">
        <x:v>0.0211</x:v>
      </x:c>
      <x:c r="K44" s="30" t="str">
        <x:v>https://stockanalysis.com/quote/lon/SN/financials/</x:v>
      </x:c>
      <x:c r="L44" s="30" t="str">
        <x:v>https://www.smith-nephew.com/en/who-we-are/investors/annual-report-2025</x:v>
      </x:c>
      <x:c r="M44" s="75" t="str">
        <x:v>Standardized public financial snapshot; official IR report registered for validation.</x:v>
      </x:c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  <x:c r="AA44" s="73"/>
    </x:row>
    <x:row r="45">
      <x:c r="A45" s="73" t="str">
        <x:v>Smith &amp; Nephew</x:v>
      </x:c>
      <x:c r="B45" s="73" t="str">
        <x:v>SN</x:v>
      </x:c>
      <x:c r="C45" s="73" t="str">
        <x:v>Healthcare</x:v>
      </x:c>
      <x:c r="D45" s="73" t="str">
        <x:v>USD</x:v>
      </x:c>
      <x:c r="E45" s="24" t="n">
        <x:v>2023</x:v>
      </x:c>
      <x:c r="F45" s="26" t="n">
        <x:v>5549</x:v>
      </x:c>
      <x:c r="G45" s="26" t="n">
        <x:v>741</x:v>
      </x:c>
      <x:c r="H45" s="26" t="n">
        <x:v>132</x:v>
      </x:c>
      <x:c r="I45" s="26" t="n">
        <x:v>3084</x:v>
      </x:c>
      <x:c r="J45" s="28" t="n">
        <x:v>0.0326</x:v>
      </x:c>
      <x:c r="K45" s="30" t="str">
        <x:v>https://stockanalysis.com/quote/lon/SN/financials/</x:v>
      </x:c>
      <x:c r="L45" s="30" t="str">
        <x:v>https://www.smith-nephew.com/en/who-we-are/investors/annual-report-2025</x:v>
      </x:c>
      <x:c r="M45" s="75" t="str">
        <x:v>Standardized public financial snapshot; official IR report registered for validation.</x:v>
      </x:c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  <x:c r="AA45" s="73"/>
    </x:row>
    <x:row r="46">
      <x:c r="A46" s="73" t="str">
        <x:v>Smith &amp; Nephew</x:v>
      </x:c>
      <x:c r="B46" s="73" t="str">
        <x:v>SN</x:v>
      </x:c>
      <x:c r="C46" s="73" t="str">
        <x:v>Healthcare</x:v>
      </x:c>
      <x:c r="D46" s="73" t="str">
        <x:v>USD</x:v>
      </x:c>
      <x:c r="E46" s="24" t="n">
        <x:v>2024</x:v>
      </x:c>
      <x:c r="F46" s="26" t="n">
        <x:v>5810</x:v>
      </x:c>
      <x:c r="G46" s="26" t="n">
        <x:v>886</x:v>
      </x:c>
      <x:c r="H46" s="26" t="n">
        <x:v>145</x:v>
      </x:c>
      <x:c r="I46" s="26" t="n">
        <x:v>3321</x:v>
      </x:c>
      <x:c r="J46" s="28" t="n">
        <x:v>0.1043</x:v>
      </x:c>
      <x:c r="K46" s="30" t="str">
        <x:v>https://stockanalysis.com/quote/lon/SN/financials/</x:v>
      </x:c>
      <x:c r="L46" s="30" t="str">
        <x:v>https://www.smith-nephew.com/en/who-we-are/investors/annual-report-2025</x:v>
      </x:c>
      <x:c r="M46" s="75" t="str">
        <x:v>Standardized public financial snapshot; official IR report registered for validation.</x:v>
      </x:c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  <x:c r="AA46" s="73"/>
    </x:row>
    <x:row r="47">
      <x:c r="A47" s="73" t="str">
        <x:v>Smith &amp; Nephew</x:v>
      </x:c>
      <x:c r="B47" s="73" t="str">
        <x:v>SN</x:v>
      </x:c>
      <x:c r="C47" s="73" t="str">
        <x:v>Healthcare</x:v>
      </x:c>
      <x:c r="D47" s="73" t="str">
        <x:v>USD</x:v>
      </x:c>
      <x:c r="E47" s="24" t="n">
        <x:v>2025</x:v>
      </x:c>
      <x:c r="F47" s="26" t="n">
        <x:v>6164</x:v>
      </x:c>
      <x:c r="G47" s="26" t="n">
        <x:v>877</x:v>
      </x:c>
      <x:c r="H47" s="26" t="n">
        <x:v>140</x:v>
      </x:c>
      <x:c r="I47" s="26" t="n">
        <x:v>3327</x:v>
      </x:c>
      <x:c r="J47" s="28" t="n">
        <x:v>0.1382</x:v>
      </x:c>
      <x:c r="K47" s="30" t="str">
        <x:v>https://stockanalysis.com/quote/lon/SN/financials/</x:v>
      </x:c>
      <x:c r="L47" s="30" t="str">
        <x:v>https://www.smith-nephew.com/en/who-we-are/investors/annual-report-2025</x:v>
      </x:c>
      <x:c r="M47" s="75" t="str">
        <x:v>Standardized public financial snapshot; official IR report registered for validation.</x:v>
      </x:c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  <x:c r="AA47" s="73"/>
    </x:row>
    <x:row r="48">
      <x:c r="A48" s="73" t="str">
        <x:v>Tesco</x:v>
      </x:c>
      <x:c r="B48" s="73" t="str">
        <x:v>TSCO</x:v>
      </x:c>
      <x:c r="C48" s="73" t="str">
        <x:v>Consumer &amp; Retail</x:v>
      </x:c>
      <x:c r="D48" s="73" t="str">
        <x:v>GBP</x:v>
      </x:c>
      <x:c r="E48" s="24" t="n">
        <x:v>2022</x:v>
      </x:c>
      <x:c r="F48" s="26" t="n">
        <x:v>61344</x:v>
      </x:c>
      <x:c r="G48" s="26" t="n">
        <x:v>2870</x:v>
      </x:c>
      <x:c r="H48" s="26" t="n">
        <x:v>652</x:v>
      </x:c>
      <x:c r="I48" s="26" t="n">
        <x:v>15357</x:v>
      </x:c>
      <x:c r="J48" s="28" t="n">
        <x:v>0.0458</x:v>
      </x:c>
      <x:c r="K48" s="30" t="str">
        <x:v>https://stockanalysis.com/quote/lon/TSCO/financials/</x:v>
      </x:c>
      <x:c r="L48" s="30" t="str">
        <x:v>https://www.tescoplc.com/investors/reports-results-and-presentations/annual-report-2025</x:v>
      </x:c>
      <x:c r="M48" s="75" t="str">
        <x:v>Standardized public financial snapshot; official IR report registered for validation.</x:v>
      </x:c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  <x:c r="AA48" s="73"/>
    </x:row>
    <x:row r="49">
      <x:c r="A49" s="73" t="str">
        <x:v>Tesco</x:v>
      </x:c>
      <x:c r="B49" s="73" t="str">
        <x:v>TSCO</x:v>
      </x:c>
      <x:c r="C49" s="73" t="str">
        <x:v>Consumer &amp; Retail</x:v>
      </x:c>
      <x:c r="D49" s="73" t="str">
        <x:v>GBP</x:v>
      </x:c>
      <x:c r="E49" s="24" t="n">
        <x:v>2023</x:v>
      </x:c>
      <x:c r="F49" s="26" t="n">
        <x:v>65322</x:v>
      </x:c>
      <x:c r="G49" s="26" t="n">
        <x:v>2595</x:v>
      </x:c>
      <x:c r="H49" s="26" t="n">
        <x:v>709</x:v>
      </x:c>
      <x:c r="I49" s="26" t="n">
        <x:v>15078</x:v>
      </x:c>
      <x:c r="J49" s="28" t="n">
        <x:v>0.0421</x:v>
      </x:c>
      <x:c r="K49" s="30" t="str">
        <x:v>https://stockanalysis.com/quote/lon/TSCO/financials/</x:v>
      </x:c>
      <x:c r="L49" s="30" t="str">
        <x:v>https://www.tescoplc.com/investors/reports-results-and-presentations/annual-report-2025</x:v>
      </x:c>
      <x:c r="M49" s="75" t="str">
        <x:v>Standardized public financial snapshot; official IR report registered for validation.</x:v>
      </x:c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  <x:c r="AA49" s="73"/>
    </x:row>
    <x:row r="50">
      <x:c r="A50" s="73" t="str">
        <x:v>Tesco</x:v>
      </x:c>
      <x:c r="B50" s="73" t="str">
        <x:v>TSCO</x:v>
      </x:c>
      <x:c r="C50" s="73" t="str">
        <x:v>Consumer &amp; Retail</x:v>
      </x:c>
      <x:c r="D50" s="73" t="str">
        <x:v>GBP</x:v>
      </x:c>
      <x:c r="E50" s="24" t="n">
        <x:v>2024</x:v>
      </x:c>
      <x:c r="F50" s="26" t="n">
        <x:v>68187</x:v>
      </x:c>
      <x:c r="G50" s="26" t="n">
        <x:v>2819</x:v>
      </x:c>
      <x:c r="H50" s="26" t="n">
        <x:v>807</x:v>
      </x:c>
      <x:c r="I50" s="26" t="n">
        <x:v>14841</x:v>
      </x:c>
      <x:c r="J50" s="28" t="n">
        <x:v>0.04</x:v>
      </x:c>
      <x:c r="K50" s="30" t="str">
        <x:v>https://stockanalysis.com/quote/lon/TSCO/financials/</x:v>
      </x:c>
      <x:c r="L50" s="30" t="str">
        <x:v>https://www.tescoplc.com/investors/reports-results-and-presentations/annual-report-2025</x:v>
      </x:c>
      <x:c r="M50" s="75" t="str">
        <x:v>Standardized public financial snapshot; official IR report registered for validation.</x:v>
      </x:c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  <x:c r="AA50" s="73"/>
    </x:row>
    <x:row r="51">
      <x:c r="A51" s="73" t="str">
        <x:v>Tesco</x:v>
      </x:c>
      <x:c r="B51" s="73" t="str">
        <x:v>TSCO</x:v>
      </x:c>
      <x:c r="C51" s="73" t="str">
        <x:v>Consumer &amp; Retail</x:v>
      </x:c>
      <x:c r="D51" s="73" t="str">
        <x:v>GBP</x:v>
      </x:c>
      <x:c r="E51" s="24" t="n">
        <x:v>2025</x:v>
      </x:c>
      <x:c r="F51" s="26" t="n">
        <x:v>69916</x:v>
      </x:c>
      <x:c r="G51" s="26" t="n">
        <x:v>2999</x:v>
      </x:c>
      <x:c r="H51" s="26" t="n">
        <x:v>769</x:v>
      </x:c>
      <x:c r="I51" s="26" t="n">
        <x:v>14666</x:v>
      </x:c>
      <x:c r="J51" s="28" t="n">
        <x:v>0.024</x:v>
      </x:c>
      <x:c r="K51" s="30" t="str">
        <x:v>https://stockanalysis.com/quote/lon/TSCO/financials/</x:v>
      </x:c>
      <x:c r="L51" s="30" t="str">
        <x:v>https://www.tescoplc.com/investors/reports-results-and-presentations/annual-report-2025</x:v>
      </x:c>
      <x:c r="M51" s="75" t="str">
        <x:v>Standardized public financial snapshot; official IR report registered for validation.</x:v>
      </x:c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  <x:c r="AA51" s="73"/>
    </x:row>
    <x:row r="52">
      <x:c r="A52" s="73" t="str">
        <x:v>Unilever</x:v>
      </x:c>
      <x:c r="B52" s="73" t="str">
        <x:v>ULVR</x:v>
      </x:c>
      <x:c r="C52" s="73" t="str">
        <x:v>Consumer &amp; Retail</x:v>
      </x:c>
      <x:c r="D52" s="73" t="str">
        <x:v>EUR</x:v>
      </x:c>
      <x:c r="E52" s="24" t="n">
        <x:v>2022</x:v>
      </x:c>
      <x:c r="F52" s="26" t="n">
        <x:v>60073</x:v>
      </x:c>
      <x:c r="G52" s="26" t="n">
        <x:v>9512</x:v>
      </x:c>
      <x:c r="H52" s="26" t="n">
        <x:v>789</x:v>
      </x:c>
      <x:c r="I52" s="26" t="n">
        <x:v>29488</x:v>
      </x:c>
      <x:c r="J52" s="28" t="n">
        <x:v>0.097</x:v>
      </x:c>
      <x:c r="K52" s="30" t="str">
        <x:v>https://stockanalysis.com/quote/lon/ULVR/financials/</x:v>
      </x:c>
      <x:c r="L52" s="30" t="str">
        <x:v>https://www.unilever.com/investors/annual-report-and-accounts/</x:v>
      </x:c>
      <x:c r="M52" s="75" t="str">
        <x:v>Standardized public financial snapshot; official IR report registered for validation.</x:v>
      </x:c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  <x:c r="AA52" s="73"/>
    </x:row>
    <x:row r="53">
      <x:c r="A53" s="73" t="str">
        <x:v>Unilever</x:v>
      </x:c>
      <x:c r="B53" s="73" t="str">
        <x:v>ULVR</x:v>
      </x:c>
      <x:c r="C53" s="73" t="str">
        <x:v>Consumer &amp; Retail</x:v>
      </x:c>
      <x:c r="D53" s="73" t="str">
        <x:v>EUR</x:v>
      </x:c>
      <x:c r="E53" s="24" t="n">
        <x:v>2023</x:v>
      </x:c>
      <x:c r="F53" s="26" t="n">
        <x:v>51680</x:v>
      </x:c>
      <x:c r="G53" s="26" t="n">
        <x:v>9275</x:v>
      </x:c>
      <x:c r="H53" s="26" t="n">
        <x:v>955</x:v>
      </x:c>
      <x:c r="I53" s="26" t="n">
        <x:v>29622</x:v>
      </x:c>
      <x:c r="J53" s="28" t="n">
        <x:v>0.1593</x:v>
      </x:c>
      <x:c r="K53" s="30" t="str">
        <x:v>https://stockanalysis.com/quote/lon/ULVR/financials/</x:v>
      </x:c>
      <x:c r="L53" s="30" t="str">
        <x:v>https://www.unilever.com/investors/annual-report-and-accounts/</x:v>
      </x:c>
      <x:c r="M53" s="75" t="str">
        <x:v>Standardized public financial snapshot; official IR report registered for validation.</x:v>
      </x:c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  <x:c r="AA53" s="73"/>
    </x:row>
    <x:row r="54">
      <x:c r="A54" s="73" t="str">
        <x:v>Unilever</x:v>
      </x:c>
      <x:c r="B54" s="73" t="str">
        <x:v>ULVR</x:v>
      </x:c>
      <x:c r="C54" s="73" t="str">
        <x:v>Consumer &amp; Retail</x:v>
      </x:c>
      <x:c r="D54" s="73" t="str">
        <x:v>EUR</x:v>
      </x:c>
      <x:c r="E54" s="24" t="n">
        <x:v>2024</x:v>
      </x:c>
      <x:c r="F54" s="26" t="n">
        <x:v>52479</x:v>
      </x:c>
      <x:c r="G54" s="26" t="n">
        <x:v>10278</x:v>
      </x:c>
      <x:c r="H54" s="26" t="n">
        <x:v>999</x:v>
      </x:c>
      <x:c r="I54" s="26" t="n">
        <x:v>32053</x:v>
      </x:c>
      <x:c r="J54" s="28" t="n">
        <x:v>0.1551</x:v>
      </x:c>
      <x:c r="K54" s="30" t="str">
        <x:v>https://stockanalysis.com/quote/lon/ULVR/financials/</x:v>
      </x:c>
      <x:c r="L54" s="30" t="str">
        <x:v>https://www.unilever.com/investors/annual-report-and-accounts/</x:v>
      </x:c>
      <x:c r="M54" s="75" t="str">
        <x:v>Standardized public financial snapshot; official IR report registered for validation.</x:v>
      </x:c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  <x:c r="AA54" s="73"/>
    </x:row>
    <x:row r="55">
      <x:c r="A55" s="73" t="str">
        <x:v>Unilever</x:v>
      </x:c>
      <x:c r="B55" s="73" t="str">
        <x:v>ULVR</x:v>
      </x:c>
      <x:c r="C55" s="73" t="str">
        <x:v>Consumer &amp; Retail</x:v>
      </x:c>
      <x:c r="D55" s="73" t="str">
        <x:v>EUR</x:v>
      </x:c>
      <x:c r="E55" s="24" t="n">
        <x:v>2025</x:v>
      </x:c>
      <x:c r="F55" s="26" t="n">
        <x:v>50503</x:v>
      </x:c>
      <x:c r="G55" s="26" t="n">
        <x:v>10127</x:v>
      </x:c>
      <x:c r="H55" s="26" t="n">
        <x:v>1098</x:v>
      </x:c>
      <x:c r="I55" s="26" t="n">
        <x:v>28278</x:v>
      </x:c>
      <x:c r="J55" s="28" t="n">
        <x:v>0.1373</x:v>
      </x:c>
      <x:c r="K55" s="30" t="str">
        <x:v>https://stockanalysis.com/quote/lon/ULVR/financials/</x:v>
      </x:c>
      <x:c r="L55" s="30" t="str">
        <x:v>https://www.unilever.com/investors/annual-report-and-accounts/</x:v>
      </x:c>
      <x:c r="M55" s="75" t="str">
        <x:v>Standardized public financial snapshot; official IR report registered for validation.</x:v>
      </x:c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  <x:c r="AA55" s="73"/>
    </x:row>
    <x:row r="56">
      <x:c r="A56" s="73" t="str">
        <x:v>United Utilities</x:v>
      </x:c>
      <x:c r="B56" s="73" t="str">
        <x:v>UU</x:v>
      </x:c>
      <x:c r="C56" s="73" t="str">
        <x:v>Utilities</x:v>
      </x:c>
      <x:c r="D56" s="73" t="str">
        <x:v>GBP</x:v>
      </x:c>
      <x:c r="E56" s="24" t="n">
        <x:v>2023</x:v>
      </x:c>
      <x:c r="F56" s="26" t="n">
        <x:v>1804</x:v>
      </x:c>
      <x:c r="G56" s="26" t="n">
        <x:v>440.8</x:v>
      </x:c>
      <x:c r="H56" s="26" t="n">
        <x:v>262.7</x:v>
      </x:c>
      <x:c r="I56" s="26" t="n">
        <x:v>8435.4</x:v>
      </x:c>
      <x:c r="J56" s="28" t="n">
        <x:v>0.0619</x:v>
      </x:c>
      <x:c r="K56" s="30" t="str">
        <x:v>https://stockanalysis.com/quote/lon/UU/financials/</x:v>
      </x:c>
      <x:c r="L56" s="30" t="str">
        <x:v>https://www.unitedutilities.com/corporate/investors/Results-and-presentations/annual-reports/</x:v>
      </x:c>
      <x:c r="M56" s="75" t="str">
        <x:v>Standardized public financial snapshot; official IR report registered for validation.</x:v>
      </x:c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  <x:c r="AA56" s="73"/>
    </x:row>
    <x:row r="57">
      <x:c r="A57" s="73" t="str">
        <x:v>United Utilities</x:v>
      </x:c>
      <x:c r="B57" s="73" t="str">
        <x:v>UU</x:v>
      </x:c>
      <x:c r="C57" s="73" t="str">
        <x:v>Utilities</x:v>
      </x:c>
      <x:c r="D57" s="73" t="str">
        <x:v>GBP</x:v>
      </x:c>
      <x:c r="E57" s="24" t="n">
        <x:v>2024</x:v>
      </x:c>
      <x:c r="F57" s="26" t="n">
        <x:v>1950</x:v>
      </x:c>
      <x:c r="G57" s="26" t="n">
        <x:v>480.2</x:v>
      </x:c>
      <x:c r="H57" s="26" t="n">
        <x:v>389.3</x:v>
      </x:c>
      <x:c r="I57" s="26" t="n">
        <x:v>10001.6</x:v>
      </x:c>
      <x:c r="J57" s="28" t="n">
        <x:v>-0.0023</x:v>
      </x:c>
      <x:c r="K57" s="30" t="str">
        <x:v>https://stockanalysis.com/quote/lon/UU/financials/</x:v>
      </x:c>
      <x:c r="L57" s="30" t="str">
        <x:v>https://www.unitedutilities.com/corporate/investors/Results-and-presentations/annual-reports/</x:v>
      </x:c>
      <x:c r="M57" s="75" t="str">
        <x:v>Standardized public financial snapshot; official IR report registered for validation.</x:v>
      </x:c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  <x:c r="AA57" s="73"/>
    </x:row>
    <x:row r="58">
      <x:c r="A58" s="73" t="str">
        <x:v>United Utilities</x:v>
      </x:c>
      <x:c r="B58" s="73" t="str">
        <x:v>UU</x:v>
      </x:c>
      <x:c r="C58" s="73" t="str">
        <x:v>Utilities</x:v>
      </x:c>
      <x:c r="D58" s="73" t="str">
        <x:v>GBP</x:v>
      </x:c>
      <x:c r="E58" s="24" t="n">
        <x:v>2025</x:v>
      </x:c>
      <x:c r="F58" s="26" t="n">
        <x:v>2145</x:v>
      </x:c>
      <x:c r="G58" s="26" t="n">
        <x:v>631.5</x:v>
      </x:c>
      <x:c r="H58" s="26" t="n">
        <x:v>371.9</x:v>
      </x:c>
      <x:c r="I58" s="26" t="n">
        <x:v>10789.1</x:v>
      </x:c>
      <x:c r="J58" s="28" t="n">
        <x:v>-0.0328</x:v>
      </x:c>
      <x:c r="K58" s="30" t="str">
        <x:v>https://stockanalysis.com/quote/lon/UU/financials/</x:v>
      </x:c>
      <x:c r="L58" s="30" t="str">
        <x:v>https://www.unitedutilities.com/corporate/investors/Results-and-presentations/annual-reports/</x:v>
      </x:c>
      <x:c r="M58" s="75" t="str">
        <x:v>Standardized public financial snapshot; official IR report registered for validation.</x:v>
      </x:c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  <x:c r="AA58" s="73"/>
    </x:row>
    <x:row r="59">
      <x:c r="A59" s="73" t="str">
        <x:v>United Utilities</x:v>
      </x:c>
      <x:c r="B59" s="73" t="str">
        <x:v>UU</x:v>
      </x:c>
      <x:c r="C59" s="73" t="str">
        <x:v>Utilities</x:v>
      </x:c>
      <x:c r="D59" s="73" t="str">
        <x:v>GBP</x:v>
      </x:c>
      <x:c r="E59" s="24" t="n">
        <x:v>2026</x:v>
      </x:c>
      <x:c r="F59" s="26" t="n">
        <x:v>2616</x:v>
      </x:c>
      <x:c r="G59" s="26" t="n">
        <x:v>1099</x:v>
      </x:c>
      <x:c r="H59" s="26" t="n">
        <x:v>415.7</x:v>
      </x:c>
      <x:c r="I59" s="26" t="n">
        <x:v>11490.9</x:v>
      </x:c>
      <x:c r="J59" s="28" t="n">
        <x:v>-0.042</x:v>
      </x:c>
      <x:c r="K59" s="30" t="str">
        <x:v>https://stockanalysis.com/quote/lon/UU/financials/</x:v>
      </x:c>
      <x:c r="L59" s="30" t="str">
        <x:v>https://www.unitedutilities.com/corporate/investors/Results-and-presentations/annual-reports/</x:v>
      </x:c>
      <x:c r="M59" s="75" t="str">
        <x:v>Standardized public financial snapshot; official IR report registered for validation.</x:v>
      </x:c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  <x:c r="AA59" s="73"/>
    </x:row>
    <x:row r="60">
      <x:c r="A60" s="73" t="str">
        <x:v>Vodafone</x:v>
      </x:c>
      <x:c r="B60" s="73" t="str">
        <x:v>VOD</x:v>
      </x:c>
      <x:c r="C60" s="73" t="str">
        <x:v>Telecom</x:v>
      </x:c>
      <x:c r="D60" s="73" t="str">
        <x:v>EUR</x:v>
      </x:c>
      <x:c r="E60" s="24" t="n">
        <x:v>2023</x:v>
      </x:c>
      <x:c r="F60" s="26" t="n">
        <x:v>37672</x:v>
      </x:c>
      <x:c r="G60" s="26" t="n">
        <x:v>4535</x:v>
      </x:c>
      <x:c r="H60" s="26" t="n">
        <x:v>1897</x:v>
      </x:c>
      <x:c r="I60" s="26" t="n">
        <x:v>66875</x:v>
      </x:c>
      <x:c r="J60" s="28" t="n">
        <x:v>0.3477</x:v>
      </x:c>
      <x:c r="K60" s="30" t="str">
        <x:v>https://stockanalysis.com/quote/lon/VOD/financials/</x:v>
      </x:c>
      <x:c r="L60" s="30" t="str">
        <x:v>https://www.vodafone.com/investors/performance-and-reports/annual-reporting</x:v>
      </x:c>
      <x:c r="M60" s="75" t="str">
        <x:v>Standardized public financial snapshot; official IR report registered for validation.</x:v>
      </x:c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  <x:c r="AA60" s="73"/>
    </x:row>
    <x:row r="61">
      <x:c r="A61" s="73" t="str">
        <x:v>Vodafone</x:v>
      </x:c>
      <x:c r="B61" s="73" t="str">
        <x:v>VOD</x:v>
      </x:c>
      <x:c r="C61" s="73" t="str">
        <x:v>Telecom</x:v>
      </x:c>
      <x:c r="D61" s="73" t="str">
        <x:v>EUR</x:v>
      </x:c>
      <x:c r="E61" s="24" t="n">
        <x:v>2024</x:v>
      </x:c>
      <x:c r="F61" s="26" t="n">
        <x:v>36717</x:v>
      </x:c>
      <x:c r="G61" s="26" t="n">
        <x:v>3337</x:v>
      </x:c>
      <x:c r="H61" s="26" t="n">
        <x:v>2353</x:v>
      </x:c>
      <x:c r="I61" s="26" t="n">
        <x:v>58511</x:v>
      </x:c>
      <x:c r="J61" s="28" t="n">
        <x:v>0.336</x:v>
      </x:c>
      <x:c r="K61" s="30" t="str">
        <x:v>https://stockanalysis.com/quote/lon/VOD/financials/</x:v>
      </x:c>
      <x:c r="L61" s="30" t="str">
        <x:v>https://www.vodafone.com/investors/performance-and-reports/annual-reporting</x:v>
      </x:c>
      <x:c r="M61" s="75" t="str">
        <x:v>Standardized public financial snapshot; official IR report registered for validation.</x:v>
      </x:c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  <x:c r="AA61" s="73"/>
    </x:row>
    <x:row r="62">
      <x:c r="A62" s="73" t="str">
        <x:v>Vodafone</x:v>
      </x:c>
      <x:c r="B62" s="73" t="str">
        <x:v>VOD</x:v>
      </x:c>
      <x:c r="C62" s="73" t="str">
        <x:v>Telecom</x:v>
      </x:c>
      <x:c r="D62" s="73" t="str">
        <x:v>EUR</x:v>
      </x:c>
      <x:c r="E62" s="24" t="n">
        <x:v>2025</x:v>
      </x:c>
      <x:c r="F62" s="26" t="n">
        <x:v>37448</x:v>
      </x:c>
      <x:c r="G62" s="26" t="n">
        <x:v>3375</x:v>
      </x:c>
      <x:c r="H62" s="26" t="n">
        <x:v>1932</x:v>
      </x:c>
      <x:c r="I62" s="26" t="n">
        <x:v>55049</x:v>
      </x:c>
      <x:c r="J62" s="28" t="n">
        <x:v>0.295</x:v>
      </x:c>
      <x:c r="K62" s="30" t="str">
        <x:v>https://stockanalysis.com/quote/lon/VOD/financials/</x:v>
      </x:c>
      <x:c r="L62" s="30" t="str">
        <x:v>https://www.vodafone.com/investors/performance-and-reports/annual-reporting</x:v>
      </x:c>
      <x:c r="M62" s="75" t="str">
        <x:v>Standardized public financial snapshot; official IR report registered for validation.</x:v>
      </x:c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  <x:c r="AA62" s="73"/>
    </x:row>
    <x:row r="63">
      <x:c r="A63" s="73" t="str">
        <x:v>Vodafone</x:v>
      </x:c>
      <x:c r="B63" s="73" t="str">
        <x:v>VOD</x:v>
      </x:c>
      <x:c r="C63" s="73" t="str">
        <x:v>Telecom</x:v>
      </x:c>
      <x:c r="D63" s="73" t="str">
        <x:v>EUR</x:v>
      </x:c>
      <x:c r="E63" s="24" t="n">
        <x:v>2026</x:v>
      </x:c>
      <x:c r="F63" s="26" t="n">
        <x:v>40461</x:v>
      </x:c>
      <x:c r="G63" s="26" t="n">
        <x:v>3149</x:v>
      </x:c>
      <x:c r="H63" s="26" t="n">
        <x:v>2214</x:v>
      </x:c>
      <x:c r="I63" s="26" t="n">
        <x:v>54448</x:v>
      </x:c>
      <x:c r="J63" s="28" t="n">
        <x:v>0.2328</x:v>
      </x:c>
      <x:c r="K63" s="30" t="str">
        <x:v>https://stockanalysis.com/quote/lon/VOD/financials/</x:v>
      </x:c>
      <x:c r="L63" s="30" t="str">
        <x:v>https://www.vodafone.com/investors/performance-and-reports/annual-reporting</x:v>
      </x:c>
      <x:c r="M63" s="75" t="str">
        <x:v>Standardized public financial snapshot; official IR report registered for validation.</x:v>
      </x:c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  <x:c r="AA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  <x:c r="AA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  <x:c r="AA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  <x:c r="AA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  <x:c r="AA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  <x:c r="AA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  <x:c r="AA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  <x:c r="AA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  <x:c r="AA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  <x:c r="AA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  <x:c r="AA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  <x:c r="AA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  <x:c r="AA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  <x:c r="AA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  <x:c r="AA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  <x:c r="AA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  <x:c r="AA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  <x:c r="AA80" s="73"/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9" hidden="0" customWidth="1"/>
    <x:col min="3" max="3" width="19" hidden="0" customWidth="1"/>
    <x:col min="4" max="4" width="22" hidden="0" customWidth="1"/>
    <x:col min="5" max="5" width="16" hidden="0" customWidth="1"/>
    <x:col min="6" max="6" width="21" hidden="0" customWidth="1"/>
  </x:cols>
  <x:sheetData>
    <x:row r="1">
      <x:c r="A1" s="82" t="str">
        <x:v>Assumptions — Scenario Shocks, Risk Weights &amp; Early-Warning Triggers</x:v>
      </x:c>
      <x:c r="B1" s="72"/>
      <x:c r="C1" s="72"/>
      <x:c r="D1" s="72"/>
      <x:c r="E1" s="72"/>
      <x:c r="F1" s="72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  <x:c r="AA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  <x:c r="AA2" s="73"/>
    </x:row>
    <x:row r="3">
      <x:c r="A3" s="74" t="str">
        <x:v>Scenario</x:v>
      </x:c>
      <x:c r="B3" s="74" t="str">
        <x:v>Revenue Shock</x:v>
      </x:c>
      <x:c r="C3" s="74" t="str">
        <x:v>EBIT Shock</x:v>
      </x:c>
      <x:c r="D3" s="74" t="str">
        <x:v>Interest Cost Shock</x:v>
      </x:c>
      <x:c r="E3" s="74" t="str">
        <x:v>Debt Shock</x:v>
      </x:c>
      <x:c r="F3" s="74" t="str">
        <x:v>FCF Margin Change</x:v>
      </x:c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  <x:c r="AA3" s="73"/>
    </x:row>
    <x:row r="4">
      <x:c r="A4" s="73" t="str">
        <x:v>Base</x:v>
      </x:c>
      <x:c r="B4" s="34" t="n">
        <x:v>0</x:v>
      </x:c>
      <x:c r="C4" s="34" t="n">
        <x:v>0</x:v>
      </x:c>
      <x:c r="D4" s="34" t="n">
        <x:v>0</x:v>
      </x:c>
      <x:c r="E4" s="34" t="n">
        <x:v>0</x:v>
      </x:c>
      <x:c r="F4" s="34" t="n">
        <x:v>0</x:v>
      </x:c>
      <x:c r="G4" s="73"/>
      <x:c r="H4" s="73"/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  <x:c r="AA4" s="73"/>
    </x:row>
    <x:row r="5">
      <x:c r="A5" s="73" t="str">
        <x:v>Downside</x:v>
      </x:c>
      <x:c r="B5" s="34" t="n">
        <x:v>-0.05</x:v>
      </x:c>
      <x:c r="C5" s="34" t="n">
        <x:v>-0.1</x:v>
      </x:c>
      <x:c r="D5" s="34" t="n">
        <x:v>0.1</x:v>
      </x:c>
      <x:c r="E5" s="34" t="n">
        <x:v>0.05</x:v>
      </x:c>
      <x:c r="F5" s="34" t="n">
        <x:v>-0.03</x:v>
      </x:c>
      <x:c r="G5" s="73"/>
      <x:c r="H5" s="73"/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  <x:c r="AA5" s="73"/>
    </x:row>
    <x:row r="6">
      <x:c r="A6" s="73" t="str">
        <x:v>Severe</x:v>
      </x:c>
      <x:c r="B6" s="34" t="n">
        <x:v>-0.1</x:v>
      </x:c>
      <x:c r="C6" s="34" t="n">
        <x:v>-0.2</x:v>
      </x:c>
      <x:c r="D6" s="34" t="n">
        <x:v>0.25</x:v>
      </x:c>
      <x:c r="E6" s="34" t="n">
        <x:v>0.1</x:v>
      </x:c>
      <x:c r="F6" s="34" t="n">
        <x:v>-0.06</x:v>
      </x:c>
      <x:c r="G6" s="73"/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  <x:c r="AA6" s="73"/>
    </x:row>
    <x:row r="7">
      <x:c r="A7" s="73"/>
      <x:c r="B7" s="73"/>
      <x:c r="C7" s="73"/>
      <x:c r="D7" s="73"/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  <x:c r="AA7" s="73"/>
    </x:row>
    <x:row r="8">
      <x:c r="A8" s="73"/>
      <x:c r="B8" s="73"/>
      <x:c r="C8" s="73"/>
      <x:c r="D8" s="73"/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  <x:c r="AA8" s="73"/>
    </x:row>
    <x:row r="9">
      <x:c r="A9" s="74" t="str">
        <x:v>Risk Metric</x:v>
      </x:c>
      <x:c r="B9" s="74" t="str">
        <x:v>Weight</x:v>
      </x:c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  <x:c r="AA9" s="73"/>
    </x:row>
    <x:row r="10">
      <x:c r="A10" s="73" t="str">
        <x:v>Debt / EBIT</x:v>
      </x:c>
      <x:c r="B10" s="34" t="n">
        <x:v>0.25</x:v>
      </x:c>
      <x:c r="C10" s="73"/>
      <x:c r="D10" s="73"/>
      <x:c r="E10" s="73"/>
      <x:c r="F10" s="73"/>
      <x:c r="G10" s="73"/>
      <x:c r="H10" s="73"/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  <x:c r="AA10" s="73"/>
    </x:row>
    <x:row r="11">
      <x:c r="A11" s="73" t="str">
        <x:v>Interest Coverage</x:v>
      </x:c>
      <x:c r="B11" s="34" t="n">
        <x:v>0.2</x:v>
      </x:c>
      <x:c r="C11" s="73"/>
      <x:c r="D11" s="73"/>
      <x:c r="E11" s="73"/>
      <x:c r="F11" s="73"/>
      <x:c r="G11" s="73"/>
      <x:c r="H11" s="73"/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  <x:c r="AA11" s="73"/>
    </x:row>
    <x:row r="12">
      <x:c r="A12" s="73" t="str">
        <x:v>Debt / Revenue</x:v>
      </x:c>
      <x:c r="B12" s="34" t="n">
        <x:v>0.15</x:v>
      </x:c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  <x:c r="AA12" s="73"/>
    </x:row>
    <x:row r="13">
      <x:c r="A13" s="73" t="str">
        <x:v>FCF Margin</x:v>
      </x:c>
      <x:c r="B13" s="34" t="n">
        <x:v>0.15</x:v>
      </x:c>
      <x:c r="C13" s="73"/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  <x:c r="AA13" s="73"/>
    </x:row>
    <x:row r="14">
      <x:c r="A14" s="73" t="str">
        <x:v>Debt Growth</x:v>
      </x:c>
      <x:c r="B14" s="34" t="n">
        <x:v>0.1</x:v>
      </x:c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  <x:c r="AA14" s="73"/>
    </x:row>
    <x:row r="15">
      <x:c r="A15" s="73" t="str">
        <x:v>Severe Interest Coverage</x:v>
      </x:c>
      <x:c r="B15" s="34" t="n">
        <x:v>0.1</x:v>
      </x:c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  <x:c r="AA15" s="73"/>
    </x:row>
    <x:row r="16">
      <x:c r="A16" s="73" t="str">
        <x:v>EBIT Margin Change</x:v>
      </x:c>
      <x:c r="B16" s="34" t="n">
        <x:v>0.05</x:v>
      </x:c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  <x:c r="AA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  <x:c r="AA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  <x:c r="AA18" s="73"/>
    </x:row>
    <x:row r="19">
      <x:c r="A19" s="74" t="str">
        <x:v>Trigger Metric</x:v>
      </x:c>
      <x:c r="B19" s="74" t="str">
        <x:v>Amber Threshold</x:v>
      </x:c>
      <x:c r="C19" s="74" t="str">
        <x:v>Red Threshold</x:v>
      </x:c>
      <x:c r="D19" s="74" t="str">
        <x:v>Risk Direction</x:v>
      </x:c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  <x:c r="AA19" s="73"/>
    </x:row>
    <x:row r="20">
      <x:c r="A20" s="73" t="str">
        <x:v>Interest Coverage</x:v>
      </x:c>
      <x:c r="B20" s="36" t="n">
        <x:v>2.5</x:v>
      </x:c>
      <x:c r="C20" s="36" t="n">
        <x:v>1.5</x:v>
      </x:c>
      <x:c r="D20" s="73" t="str">
        <x:v>Lower is worse</x:v>
      </x:c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</x:row>
    <x:row r="21">
      <x:c r="A21" s="73" t="str">
        <x:v>Debt / EBIT</x:v>
      </x:c>
      <x:c r="B21" s="36" t="n">
        <x:v>4</x:v>
      </x:c>
      <x:c r="C21" s="36" t="n">
        <x:v>6</x:v>
      </x:c>
      <x:c r="D21" s="73" t="str">
        <x:v>Higher is worse</x:v>
      </x:c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  <x:c r="AA21" s="73"/>
    </x:row>
    <x:row r="22">
      <x:c r="A22" s="73" t="str">
        <x:v>Debt Growth</x:v>
      </x:c>
      <x:c r="B22" s="34" t="n">
        <x:v>0.1</x:v>
      </x:c>
      <x:c r="C22" s="34" t="n">
        <x:v>0.2</x:v>
      </x:c>
      <x:c r="D22" s="73" t="str">
        <x:v>Higher is worse</x:v>
      </x:c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  <x:c r="AA22" s="73"/>
    </x:row>
    <x:row r="23">
      <x:c r="A23" s="73" t="str">
        <x:v>FCF Margin</x:v>
      </x:c>
      <x:c r="B23" s="34" t="n">
        <x:v>0</x:v>
      </x:c>
      <x:c r="C23" s="34" t="n">
        <x:v>-0.1</x:v>
      </x:c>
      <x:c r="D23" s="73" t="str">
        <x:v>Lower is worse</x:v>
      </x:c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  <x:c r="AA23" s="73"/>
    </x:row>
    <x:row r="24">
      <x:c r="A24" s="73" t="str">
        <x:v>Severe Interest Coverage</x:v>
      </x:c>
      <x:c r="B24" s="34" t="n">
        <x:v>1.75</x:v>
      </x:c>
      <x:c r="C24" s="34" t="n">
        <x:v>1.25</x:v>
      </x:c>
      <x:c r="D24" s="73" t="str">
        <x:v>Lower is worse</x:v>
      </x:c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  <x:c r="AA24" s="73"/>
    </x:row>
    <x:row r="25">
      <x:c r="A25" s="73" t="str">
        <x:v>EBIT Margin Change</x:v>
      </x:c>
      <x:c r="B25" s="34" t="n">
        <x:v>-0.03</x:v>
      </x:c>
      <x:c r="C25" s="34" t="n">
        <x:v>-0.05</x:v>
      </x:c>
      <x:c r="D25" s="73" t="str">
        <x:v>Lower is worse</x:v>
      </x:c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  <x:c r="AA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  <x:c r="AA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  <x:c r="AA27" s="73"/>
    </x:row>
    <x:row r="28">
      <x:c r="A28" s="76" t="str">
        <x:v>Status rule</x:v>
      </x:c>
      <x:c r="B28" s="76"/>
      <x:c r="C28" s="76"/>
      <x:c r="D28" s="76"/>
      <x:c r="E28" s="76"/>
      <x:c r="F28" s="76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  <x:c r="AA28" s="73"/>
    </x:row>
    <x:row r="29">
      <x:c r="A29" s="75" t="str">
        <x:v>RED if current interest coverage breaches the red threshold, severe-stress coverage breaches the red threshold, two or more red triggers fire, or relative risk score is &gt;=80. AMBER if any amber/red trigger fires or score is &gt;=60. Otherwise GREEN. These are custom monitoring rules, not external ratings.</x:v>
      </x:c>
      <x:c r="B29" s="75"/>
      <x:c r="C29" s="75"/>
      <x:c r="D29" s="75"/>
      <x:c r="E29" s="75"/>
      <x:c r="F29" s="75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  <x:c r="AA29" s="73"/>
    </x:row>
    <x:row r="30">
      <x:c r="A30" s="75"/>
      <x:c r="B30" s="75"/>
      <x:c r="C30" s="75"/>
      <x:c r="D30" s="75"/>
      <x:c r="E30" s="75"/>
      <x:c r="F30" s="75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  <x:c r="AA30" s="73"/>
    </x:row>
    <x:row r="31">
      <x:c r="A31" s="75"/>
      <x:c r="B31" s="75"/>
      <x:c r="C31" s="75"/>
      <x:c r="D31" s="75"/>
      <x:c r="E31" s="75"/>
      <x:c r="F31" s="75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  <x:c r="AA31" s="73"/>
    </x:row>
    <x:row r="32">
      <x:c r="A32" s="75"/>
      <x:c r="B32" s="75"/>
      <x:c r="C32" s="75"/>
      <x:c r="D32" s="75"/>
      <x:c r="E32" s="75"/>
      <x:c r="F32" s="75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  <x:c r="AA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  <x:c r="AA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  <x:c r="AA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  <x:c r="AA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  <x:c r="AA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  <x:c r="AA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  <x:c r="AA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  <x:c r="AA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  <x:c r="AA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  <x:c r="AA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  <x:c r="AA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  <x:c r="AA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  <x:c r="AA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  <x:c r="AA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  <x:c r="AA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  <x:c r="AA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  <x:c r="AA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  <x:c r="AA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  <x:c r="AA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  <x:c r="AA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  <x:c r="AA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  <x:c r="AA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  <x:c r="AA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  <x:c r="AA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  <x:c r="AA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  <x:c r="AA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  <x:c r="AA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  <x:c r="AA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  <x:c r="AA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  <x:c r="AA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  <x:c r="AA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  <x:c r="AA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  <x:c r="AA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  <x:c r="AA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  <x:c r="AA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  <x:c r="AA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  <x:c r="AA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  <x:c r="AA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  <x:c r="AA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  <x:c r="AA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  <x:c r="AA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  <x:c r="AA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  <x:c r="AA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  <x:c r="AA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  <x:c r="AA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  <x:c r="AA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  <x:c r="AA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  <x:c r="AA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  <x:c r="AA80" s="73"/>
    </x:row>
  </x:sheetData>
  <x:mergeCells>
    <x:mergeCell ref="A1:F1"/>
    <x:mergeCell ref="A28:F28"/>
    <x:mergeCell ref="A29:F3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23" hidden="0" customWidth="1"/>
    <x:col min="4" max="4" width="9" hidden="0" customWidth="1"/>
    <x:col min="5" max="5" width="7" hidden="0" customWidth="1"/>
    <x:col min="6" max="6" width="13" hidden="0" customWidth="1"/>
    <x:col min="7" max="7" width="13" hidden="0" customWidth="1"/>
    <x:col min="8" max="8" width="17" hidden="0" customWidth="1"/>
    <x:col min="9" max="9" width="14" hidden="0" customWidth="1"/>
    <x:col min="10" max="10" width="11" hidden="0" customWidth="1"/>
    <x:col min="11" max="11" width="12" hidden="0" customWidth="1"/>
    <x:col min="12" max="12" width="16" hidden="0" customWidth="1"/>
    <x:col min="13" max="13" width="14" hidden="0" customWidth="1"/>
    <x:col min="14" max="14" width="13" hidden="0" customWidth="1"/>
    <x:col min="15" max="15" width="13" hidden="0" customWidth="1"/>
    <x:col min="16" max="16" width="11" hidden="0" customWidth="1"/>
    <x:col min="17" max="17" width="13" hidden="0" customWidth="1"/>
    <x:col min="18" max="18" width="13" hidden="0" customWidth="1"/>
    <x:col min="19" max="19" width="12" hidden="0" customWidth="1"/>
    <x:col min="20" max="20" width="17" hidden="0" customWidth="1"/>
  </x:cols>
  <x:sheetData>
    <x:row r="1">
      <x:c r="A1" s="82" t="str">
        <x:v>Metrics — Formula-Driven Credit, Cash-Flow &amp; Trend Signals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3"/>
      <x:c r="V1" s="73"/>
      <x:c r="W1" s="73"/>
      <x:c r="X1" s="73"/>
      <x:c r="Y1" s="73"/>
      <x:c r="Z1" s="73"/>
      <x:c r="AA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  <x:c r="AA2" s="73"/>
    </x:row>
    <x:row r="3">
      <x:c r="A3" s="74" t="str">
        <x:v>Company</x:v>
      </x:c>
      <x:c r="B3" s="74" t="str">
        <x:v>Ticker</x:v>
      </x:c>
      <x:c r="C3" s="74" t="str">
        <x:v>Sector</x:v>
      </x:c>
      <x:c r="D3" s="74" t="str">
        <x:v>Currency</x:v>
      </x:c>
      <x:c r="E3" s="74" t="str">
        <x:v>FY</x:v>
      </x:c>
      <x:c r="F3" s="74" t="str">
        <x:v>Revenue (m)</x:v>
      </x:c>
      <x:c r="G3" s="74" t="str">
        <x:v>EBIT (m)</x:v>
      </x:c>
      <x:c r="H3" s="74" t="str">
        <x:v>Interest Expense (m)</x:v>
      </x:c>
      <x:c r="I3" s="74" t="str">
        <x:v>Total Debt (m)</x:v>
      </x:c>
      <x:c r="J3" s="74" t="str">
        <x:v>FCF Margin</x:v>
      </x:c>
      <x:c r="K3" s="74" t="str">
        <x:v>EBIT Margin</x:v>
      </x:c>
      <x:c r="L3" s="74" t="str">
        <x:v>Interest Coverage</x:v>
      </x:c>
      <x:c r="M3" s="74" t="str">
        <x:v>Debt / Revenue</x:v>
      </x:c>
      <x:c r="N3" s="74" t="str">
        <x:v>Debt / EBIT</x:v>
      </x:c>
      <x:c r="O3" s="74" t="str">
        <x:v>FCF (m)</x:v>
      </x:c>
      <x:c r="P3" s="74" t="str">
        <x:v>FCF / Debt</x:v>
      </x:c>
      <x:c r="Q3" s="74" t="str">
        <x:v>Revenue Growth</x:v>
      </x:c>
      <x:c r="R3" s="74" t="str">
        <x:v>EBIT Growth</x:v>
      </x:c>
      <x:c r="S3" s="74" t="str">
        <x:v>Debt Growth</x:v>
      </x:c>
      <x:c r="T3" s="74" t="str">
        <x:v>EBIT Margin Change</x:v>
      </x:c>
      <x:c r="U3" s="73"/>
      <x:c r="V3" s="73"/>
      <x:c r="W3" s="73"/>
      <x:c r="X3" s="73"/>
      <x:c r="Y3" s="73"/>
      <x:c r="Z3" s="73"/>
      <x:c r="AA3" s="73"/>
    </x:row>
    <x:row r="4">
      <x:c r="A4" s="38" t="str">
        <x:f>'Raw_Data'!A4</x:f>
        <x:v>AstraZeneca</x:v>
      </x:c>
      <x:c r="B4" s="38" t="str">
        <x:f>'Raw_Data'!B4</x:f>
        <x:v>AZN</x:v>
      </x:c>
      <x:c r="C4" s="38" t="str">
        <x:f>'Raw_Data'!C4</x:f>
        <x:v>Healthcare</x:v>
      </x:c>
      <x:c r="D4" s="38" t="str">
        <x:f>'Raw_Data'!D4</x:f>
        <x:v>USD</x:v>
      </x:c>
      <x:c r="E4" s="38" t="n">
        <x:f>'Raw_Data'!E4</x:f>
        <x:v>2022</x:v>
      </x:c>
      <x:c r="F4" s="42" t="n">
        <x:f>'Raw_Data'!F4</x:f>
        <x:v>44351</x:v>
      </x:c>
      <x:c r="G4" s="42" t="n">
        <x:f>'Raw_Data'!G4</x:f>
        <x:v>8812</x:v>
      </x:c>
      <x:c r="H4" s="42" t="n">
        <x:f>'Raw_Data'!H4</x:f>
        <x:v>917</x:v>
      </x:c>
      <x:c r="I4" s="42" t="n">
        <x:f>'Raw_Data'!I4</x:f>
        <x:v>31135</x:v>
      </x:c>
      <x:c r="J4" s="44" t="n">
        <x:f>'Raw_Data'!J4</x:f>
        <x:v>0.1966</x:v>
      </x:c>
      <x:c r="K4" s="45" t="n">
        <x:f>IFERROR(G4/F4,"")</x:f>
        <x:v>0.1986877409754008</x:v>
      </x:c>
      <x:c r="L4" s="48" t="n">
        <x:f>IFERROR(G4/ABS(H4),"")</x:f>
        <x:v>9.60959651035987</x:v>
      </x:c>
      <x:c r="M4" s="48" t="n">
        <x:f>IFERROR(I4/F4,"")</x:f>
        <x:v>0.7020134833487407</x:v>
      </x:c>
      <x:c r="N4" s="48" t="n">
        <x:f>IF(G4&lt;=0,"",I4/G4)</x:f>
        <x:v>3.533250113481616</x:v>
      </x:c>
      <x:c r="O4" s="50" t="n">
        <x:f>F4*J4</x:f>
        <x:v>8719.4066</x:v>
      </x:c>
      <x:c r="P4" s="45" t="n">
        <x:f>IFERROR(O4/I4,"")</x:f>
        <x:v>0.28005160109201865</x:v>
      </x:c>
      <x:c r="Q4" s="45" t="str"/>
      <x:c r="R4" s="45" t="str"/>
      <x:c r="S4" s="45" t="str"/>
      <x:c r="T4" s="45" t="str"/>
      <x:c r="U4" s="73"/>
      <x:c r="V4" s="73"/>
      <x:c r="W4" s="73"/>
      <x:c r="X4" s="73"/>
      <x:c r="Y4" s="73"/>
      <x:c r="Z4" s="73"/>
      <x:c r="AA4" s="73"/>
    </x:row>
    <x:row r="5">
      <x:c r="A5" s="38" t="str">
        <x:f>'Raw_Data'!A5</x:f>
        <x:v>AstraZeneca</x:v>
      </x:c>
      <x:c r="B5" s="38" t="str">
        <x:f>'Raw_Data'!B5</x:f>
        <x:v>AZN</x:v>
      </x:c>
      <x:c r="C5" s="38" t="str">
        <x:f>'Raw_Data'!C5</x:f>
        <x:v>Healthcare</x:v>
      </x:c>
      <x:c r="D5" s="38" t="str">
        <x:f>'Raw_Data'!D5</x:f>
        <x:v>USD</x:v>
      </x:c>
      <x:c r="E5" s="38" t="n">
        <x:f>'Raw_Data'!E5</x:f>
        <x:v>2023</x:v>
      </x:c>
      <x:c r="F5" s="42" t="n">
        <x:f>'Raw_Data'!F5</x:f>
        <x:v>45811</x:v>
      </x:c>
      <x:c r="G5" s="42" t="n">
        <x:f>'Raw_Data'!G5</x:f>
        <x:v>9699</x:v>
      </x:c>
      <x:c r="H5" s="42" t="n">
        <x:f>'Raw_Data'!H5</x:f>
        <x:v>1219</x:v>
      </x:c>
      <x:c r="I5" s="42" t="n">
        <x:f>'Raw_Data'!I5</x:f>
        <x:v>29649</x:v>
      </x:c>
      <x:c r="J5" s="44" t="n">
        <x:f>'Raw_Data'!J5</x:f>
        <x:v>0.1961</x:v>
      </x:c>
      <x:c r="K5" s="45" t="n">
        <x:f>IFERROR(G5/F5,"")</x:f>
        <x:v>0.21171770972037285</x:v>
      </x:c>
      <x:c r="L5" s="48" t="n">
        <x:f>IFERROR(G5/ABS(H5),"")</x:f>
        <x:v>7.956521739130435</x:v>
      </x:c>
      <x:c r="M5" s="48" t="n">
        <x:f>IFERROR(I5/F5,"")</x:f>
        <x:v>0.6472026369212635</x:v>
      </x:c>
      <x:c r="N5" s="48" t="n">
        <x:f>IF(G5&lt;=0,"",I5/G5)</x:f>
        <x:v>3.0569130838230745</x:v>
      </x:c>
      <x:c r="O5" s="50" t="n">
        <x:f>F5*J5</x:f>
        <x:v>8983.5371</x:v>
      </x:c>
      <x:c r="P5" s="45" t="n">
        <x:f>IFERROR(O5/I5,"")</x:f>
        <x:v>0.3029962932982562</x:v>
      </x:c>
      <x:c r="Q5" s="45" t="n">
        <x:f>IFERROR(F5/F4-1,"")</x:f>
        <x:v>0.032919212644585194</x:v>
      </x:c>
      <x:c r="R5" s="45" t="n">
        <x:f>IFERROR(G5/G4-1,"")</x:f>
        <x:v>0.10065819337267357</x:v>
      </x:c>
      <x:c r="S5" s="45" t="n">
        <x:f>IFERROR(I5/I4-1,"")</x:f>
        <x:v>-0.04772763770676092</x:v>
      </x:c>
      <x:c r="T5" s="45" t="n">
        <x:f>IFERROR(K5-K4,"")</x:f>
        <x:v>0.01302996874497206</x:v>
      </x:c>
      <x:c r="U5" s="73"/>
      <x:c r="V5" s="73"/>
      <x:c r="W5" s="73"/>
      <x:c r="X5" s="73"/>
      <x:c r="Y5" s="73"/>
      <x:c r="Z5" s="73"/>
      <x:c r="AA5" s="73"/>
    </x:row>
    <x:row r="6">
      <x:c r="A6" s="38" t="str">
        <x:f>'Raw_Data'!A6</x:f>
        <x:v>AstraZeneca</x:v>
      </x:c>
      <x:c r="B6" s="38" t="str">
        <x:f>'Raw_Data'!B6</x:f>
        <x:v>AZN</x:v>
      </x:c>
      <x:c r="C6" s="38" t="str">
        <x:f>'Raw_Data'!C6</x:f>
        <x:v>Healthcare</x:v>
      </x:c>
      <x:c r="D6" s="38" t="str">
        <x:f>'Raw_Data'!D6</x:f>
        <x:v>USD</x:v>
      </x:c>
      <x:c r="E6" s="38" t="n">
        <x:f>'Raw_Data'!E6</x:f>
        <x:v>2024</x:v>
      </x:c>
      <x:c r="F6" s="42" t="n">
        <x:f>'Raw_Data'!F6</x:f>
        <x:v>54073</x:v>
      </x:c>
      <x:c r="G6" s="42" t="n">
        <x:f>'Raw_Data'!G6</x:f>
        <x:v>12929</x:v>
      </x:c>
      <x:c r="H6" s="42" t="n">
        <x:f>'Raw_Data'!H6</x:f>
        <x:v>1403</x:v>
      </x:c>
      <x:c r="I6" s="42" t="n">
        <x:f>'Raw_Data'!I6</x:f>
        <x:v>30460</x:v>
      </x:c>
      <x:c r="J6" s="44" t="n">
        <x:f>'Raw_Data'!J6</x:f>
        <x:v>0.1838</x:v>
      </x:c>
      <x:c r="K6" s="45" t="n">
        <x:f>IFERROR(G6/F6,"")</x:f>
        <x:v>0.2391026945055758</x:v>
      </x:c>
      <x:c r="L6" s="48" t="n">
        <x:f>IFERROR(G6/ABS(H6),"")</x:f>
        <x:v>9.215253029223094</x:v>
      </x:c>
      <x:c r="M6" s="48" t="n">
        <x:f>IFERROR(I6/F6,"")</x:f>
        <x:v>0.5633125589480887</x:v>
      </x:c>
      <x:c r="N6" s="48" t="n">
        <x:f>IF(G6&lt;=0,"",I6/G6)</x:f>
        <x:v>2.355944001856292</x:v>
      </x:c>
      <x:c r="O6" s="50" t="n">
        <x:f>F6*J6</x:f>
        <x:v>9938.6174</x:v>
      </x:c>
      <x:c r="P6" s="45" t="n">
        <x:f>IFERROR(O6/I6,"")</x:f>
        <x:v>0.3262842219304005</x:v>
      </x:c>
      <x:c r="Q6" s="45" t="n">
        <x:f>IFERROR(F6/F5-1,"")</x:f>
        <x:v>0.18034969767086517</x:v>
      </x:c>
      <x:c r="R6" s="45" t="n">
        <x:f>IFERROR(G6/G5-1,"")</x:f>
        <x:v>0.33302402309516443</x:v>
      </x:c>
      <x:c r="S6" s="45" t="n">
        <x:f>IFERROR(I6/I5-1,"")</x:f>
        <x:v>0.027353367735842626</x:v>
      </x:c>
      <x:c r="T6" s="45" t="n">
        <x:f>IFERROR(K6-K5,"")</x:f>
        <x:v>0.02738498478520296</x:v>
      </x:c>
      <x:c r="U6" s="73"/>
      <x:c r="V6" s="73"/>
      <x:c r="W6" s="73"/>
      <x:c r="X6" s="73"/>
      <x:c r="Y6" s="73"/>
      <x:c r="Z6" s="73"/>
      <x:c r="AA6" s="73"/>
    </x:row>
    <x:row r="7">
      <x:c r="A7" s="38" t="str">
        <x:f>'Raw_Data'!A7</x:f>
        <x:v>AstraZeneca</x:v>
      </x:c>
      <x:c r="B7" s="38" t="str">
        <x:f>'Raw_Data'!B7</x:f>
        <x:v>AZN</x:v>
      </x:c>
      <x:c r="C7" s="38" t="str">
        <x:f>'Raw_Data'!C7</x:f>
        <x:v>Healthcare</x:v>
      </x:c>
      <x:c r="D7" s="38" t="str">
        <x:f>'Raw_Data'!D7</x:f>
        <x:v>USD</x:v>
      </x:c>
      <x:c r="E7" s="38" t="n">
        <x:f>'Raw_Data'!E7</x:f>
        <x:v>2025</x:v>
      </x:c>
      <x:c r="F7" s="42" t="n">
        <x:f>'Raw_Data'!F7</x:f>
        <x:v>58739</x:v>
      </x:c>
      <x:c r="G7" s="42" t="n">
        <x:f>'Raw_Data'!G7</x:f>
        <x:v>14292</x:v>
      </x:c>
      <x:c r="H7" s="42" t="n">
        <x:f>'Raw_Data'!H7</x:f>
        <x:v>1365</x:v>
      </x:c>
      <x:c r="I7" s="42" t="n">
        <x:f>'Raw_Data'!I7</x:f>
        <x:v>29703</x:v>
      </x:c>
      <x:c r="J7" s="44" t="n">
        <x:f>'Raw_Data'!J7</x:f>
        <x:v>0.2003</x:v>
      </x:c>
      <x:c r="K7" s="45" t="n">
        <x:f>IFERROR(G7/F7,"")</x:f>
        <x:v>0.2433136417031274</x:v>
      </x:c>
      <x:c r="L7" s="48" t="n">
        <x:f>IFERROR(G7/ABS(H7),"")</x:f>
        <x:v>10.47032967032967</x:v>
      </x:c>
      <x:c r="M7" s="48" t="n">
        <x:f>IFERROR(I7/F7,"")</x:f>
        <x:v>0.5056776587956894</x:v>
      </x:c>
      <x:c r="N7" s="48" t="n">
        <x:f>IF(G7&lt;=0,"",I7/G7)</x:f>
        <x:v>2.0782955499580185</x:v>
      </x:c>
      <x:c r="O7" s="50" t="n">
        <x:f>F7*J7</x:f>
        <x:v>11765.4217</x:v>
      </x:c>
      <x:c r="P7" s="45" t="n">
        <x:f>IFERROR(O7/I7,"")</x:f>
        <x:v>0.39610213446453224</x:v>
      </x:c>
      <x:c r="Q7" s="45" t="n">
        <x:f>IFERROR(F7/F6-1,"")</x:f>
        <x:v>0.0862907550903409</x:v>
      </x:c>
      <x:c r="R7" s="45" t="n">
        <x:f>IFERROR(G7/G6-1,"")</x:f>
        <x:v>0.10542191971536852</x:v>
      </x:c>
      <x:c r="S7" s="45" t="n">
        <x:f>IFERROR(I7/I6-1,"")</x:f>
        <x:v>-0.024852265265922546</x:v>
      </x:c>
      <x:c r="T7" s="45" t="n">
        <x:f>IFERROR(K7-K6,"")</x:f>
        <x:v>0.004210947197551579</x:v>
      </x:c>
      <x:c r="U7" s="73"/>
      <x:c r="V7" s="73"/>
      <x:c r="W7" s="73"/>
      <x:c r="X7" s="73"/>
      <x:c r="Y7" s="73"/>
      <x:c r="Z7" s="73"/>
      <x:c r="AA7" s="73"/>
    </x:row>
    <x:row r="8">
      <x:c r="A8" s="38" t="str">
        <x:f>'Raw_Data'!A8</x:f>
        <x:v>BT Group</x:v>
      </x:c>
      <x:c r="B8" s="38" t="str">
        <x:f>'Raw_Data'!B8</x:f>
        <x:v>BT.A</x:v>
      </x:c>
      <x:c r="C8" s="38" t="str">
        <x:f>'Raw_Data'!C8</x:f>
        <x:v>Telecom</x:v>
      </x:c>
      <x:c r="D8" s="38" t="str">
        <x:f>'Raw_Data'!D8</x:f>
        <x:v>GBP</x:v>
      </x:c>
      <x:c r="E8" s="38" t="n">
        <x:f>'Raw_Data'!E8</x:f>
        <x:v>2023</x:v>
      </x:c>
      <x:c r="F8" s="42" t="n">
        <x:f>'Raw_Data'!F8</x:f>
        <x:v>20681</x:v>
      </x:c>
      <x:c r="G8" s="42" t="n">
        <x:f>'Raw_Data'!G8</x:f>
        <x:v>2619</x:v>
      </x:c>
      <x:c r="H8" s="42" t="n">
        <x:f>'Raw_Data'!H8</x:f>
        <x:v>894</x:v>
      </x:c>
      <x:c r="I8" s="42" t="n">
        <x:f>'Raw_Data'!I8</x:f>
        <x:v>23880</x:v>
      </x:c>
      <x:c r="J8" s="44" t="n">
        <x:f>'Raw_Data'!J8</x:f>
        <x:v>0.0685</x:v>
      </x:c>
      <x:c r="K8" s="45" t="n">
        <x:f>IFERROR(G8/F8,"")</x:f>
        <x:v>0.12663797688699774</x:v>
      </x:c>
      <x:c r="L8" s="48" t="n">
        <x:f>IFERROR(G8/ABS(H8),"")</x:f>
        <x:v>2.9295302013422817</x:v>
      </x:c>
      <x:c r="M8" s="48" t="n">
        <x:f>IFERROR(I8/F8,"")</x:f>
        <x:v>1.1546830424060732</x:v>
      </x:c>
      <x:c r="N8" s="48" t="n">
        <x:f>IF(G8&lt;=0,"",I8/G8)</x:f>
        <x:v>9.117983963344788</x:v>
      </x:c>
      <x:c r="O8" s="50" t="n">
        <x:f>F8*J8</x:f>
        <x:v>1416.6485</x:v>
      </x:c>
      <x:c r="P8" s="45" t="n">
        <x:f>IFERROR(O8/I8,"")</x:f>
        <x:v>0.05932363902847571</x:v>
      </x:c>
      <x:c r="Q8" s="45" t="str"/>
      <x:c r="R8" s="45" t="str"/>
      <x:c r="S8" s="45" t="str"/>
      <x:c r="T8" s="45" t="str"/>
      <x:c r="U8" s="73"/>
      <x:c r="V8" s="73"/>
      <x:c r="W8" s="73"/>
      <x:c r="X8" s="73"/>
      <x:c r="Y8" s="73"/>
      <x:c r="Z8" s="73"/>
      <x:c r="AA8" s="73"/>
    </x:row>
    <x:row r="9">
      <x:c r="A9" s="38" t="str">
        <x:f>'Raw_Data'!A9</x:f>
        <x:v>BT Group</x:v>
      </x:c>
      <x:c r="B9" s="38" t="str">
        <x:f>'Raw_Data'!B9</x:f>
        <x:v>BT.A</x:v>
      </x:c>
      <x:c r="C9" s="38" t="str">
        <x:f>'Raw_Data'!C9</x:f>
        <x:v>Telecom</x:v>
      </x:c>
      <x:c r="D9" s="38" t="str">
        <x:f>'Raw_Data'!D9</x:f>
        <x:v>GBP</x:v>
      </x:c>
      <x:c r="E9" s="38" t="n">
        <x:f>'Raw_Data'!E9</x:f>
        <x:v>2024</x:v>
      </x:c>
      <x:c r="F9" s="42" t="n">
        <x:f>'Raw_Data'!F9</x:f>
        <x:v>20797</x:v>
      </x:c>
      <x:c r="G9" s="42" t="n">
        <x:f>'Raw_Data'!G9</x:f>
        <x:v>2214</x:v>
      </x:c>
      <x:c r="H9" s="42" t="n">
        <x:f>'Raw_Data'!H9</x:f>
        <x:v>1188</x:v>
      </x:c>
      <x:c r="I9" s="42" t="n">
        <x:f>'Raw_Data'!I9</x:f>
        <x:v>23481</x:v>
      </x:c>
      <x:c r="J9" s="44" t="n">
        <x:f>'Raw_Data'!J9</x:f>
        <x:v>0.0473</x:v>
      </x:c>
      <x:c r="K9" s="45" t="n">
        <x:f>IFERROR(G9/F9,"")</x:f>
        <x:v>0.10645766216281194</x:v>
      </x:c>
      <x:c r="L9" s="48" t="n">
        <x:f>IFERROR(G9/ABS(H9),"")</x:f>
        <x:v>1.8636363636363635</x:v>
      </x:c>
      <x:c r="M9" s="48" t="n">
        <x:f>IFERROR(I9/F9,"")</x:f>
        <x:v>1.1290570755397413</x:v>
      </x:c>
      <x:c r="N9" s="48" t="n">
        <x:f>IF(G9&lt;=0,"",I9/G9)</x:f>
        <x:v>10.605691056910569</x:v>
      </x:c>
      <x:c r="O9" s="50" t="n">
        <x:f>F9*J9</x:f>
        <x:v>983.6981000000001</x:v>
      </x:c>
      <x:c r="P9" s="45" t="n">
        <x:f>IFERROR(O9/I9,"")</x:f>
        <x:v>0.04189336484817512</x:v>
      </x:c>
      <x:c r="Q9" s="45" t="n">
        <x:f>IFERROR(F9/F8-1,"")</x:f>
        <x:v>0.005609013103815119</x:v>
      </x:c>
      <x:c r="R9" s="45" t="n">
        <x:f>IFERROR(G9/G8-1,"")</x:f>
        <x:v>-0.15463917525773196</x:v>
      </x:c>
      <x:c r="S9" s="45" t="n">
        <x:f>IFERROR(I9/I8-1,"")</x:f>
        <x:v>-0.01670854271356781</x:v>
      </x:c>
      <x:c r="T9" s="45" t="n">
        <x:f>IFERROR(K9-K8,"")</x:f>
        <x:v>-0.0201803147241858</x:v>
      </x:c>
      <x:c r="U9" s="73"/>
      <x:c r="V9" s="73"/>
      <x:c r="W9" s="73"/>
      <x:c r="X9" s="73"/>
      <x:c r="Y9" s="73"/>
      <x:c r="Z9" s="73"/>
      <x:c r="AA9" s="73"/>
    </x:row>
    <x:row r="10">
      <x:c r="A10" s="38" t="str">
        <x:f>'Raw_Data'!A10</x:f>
        <x:v>BT Group</x:v>
      </x:c>
      <x:c r="B10" s="38" t="str">
        <x:f>'Raw_Data'!B10</x:f>
        <x:v>BT.A</x:v>
      </x:c>
      <x:c r="C10" s="38" t="str">
        <x:f>'Raw_Data'!C10</x:f>
        <x:v>Telecom</x:v>
      </x:c>
      <x:c r="D10" s="38" t="str">
        <x:f>'Raw_Data'!D10</x:f>
        <x:v>GBP</x:v>
      </x:c>
      <x:c r="E10" s="38" t="n">
        <x:f>'Raw_Data'!E10</x:f>
        <x:v>2025</x:v>
      </x:c>
      <x:c r="F10" s="42" t="n">
        <x:f>'Raw_Data'!F10</x:f>
        <x:v>20358</x:v>
      </x:c>
      <x:c r="G10" s="42" t="n">
        <x:f>'Raw_Data'!G10</x:f>
        <x:v>2492</x:v>
      </x:c>
      <x:c r="H10" s="42" t="n">
        <x:f>'Raw_Data'!H10</x:f>
        <x:v>1301</x:v>
      </x:c>
      <x:c r="I10" s="42" t="n">
        <x:f>'Raw_Data'!I10</x:f>
        <x:v>23333</x:v>
      </x:c>
      <x:c r="J10" s="44" t="n">
        <x:f>'Raw_Data'!J10</x:f>
        <x:v>0.1008</x:v>
      </x:c>
      <x:c r="K10" s="45" t="n">
        <x:f>IFERROR(G10/F10,"")</x:f>
        <x:v>0.12240888102957069</x:v>
      </x:c>
      <x:c r="L10" s="48" t="n">
        <x:f>IFERROR(G10/ABS(H10),"")</x:f>
        <x:v>1.9154496541122215</x:v>
      </x:c>
      <x:c r="M10" s="48" t="n">
        <x:f>IFERROR(I10/F10,"")</x:f>
        <x:v>1.1461341978583357</x:v>
      </x:c>
      <x:c r="N10" s="48" t="n">
        <x:f>IF(G10&lt;=0,"",I10/G10)</x:f>
        <x:v>9.363162118780096</x:v>
      </x:c>
      <x:c r="O10" s="50" t="n">
        <x:f>F10*J10</x:f>
        <x:v>2052.0864</x:v>
      </x:c>
      <x:c r="P10" s="45" t="n">
        <x:f>IFERROR(O10/I10,"")</x:f>
        <x:v>0.08794781639737712</x:v>
      </x:c>
      <x:c r="Q10" s="45" t="n">
        <x:f>IFERROR(F10/F9-1,"")</x:f>
        <x:v>-0.021108813771216983</x:v>
      </x:c>
      <x:c r="R10" s="45" t="n">
        <x:f>IFERROR(G10/G9-1,"")</x:f>
        <x:v>0.12556458897922318</x:v>
      </x:c>
      <x:c r="S10" s="45" t="n">
        <x:f>IFERROR(I10/I9-1,"")</x:f>
        <x:v>-0.0063029683573953</x:v>
      </x:c>
      <x:c r="T10" s="45" t="n">
        <x:f>IFERROR(K10-K9,"")</x:f>
        <x:v>0.01595121886675875</x:v>
      </x:c>
      <x:c r="U10" s="73"/>
      <x:c r="V10" s="73"/>
      <x:c r="W10" s="73"/>
      <x:c r="X10" s="73"/>
      <x:c r="Y10" s="73"/>
      <x:c r="Z10" s="73"/>
      <x:c r="AA10" s="73"/>
    </x:row>
    <x:row r="11">
      <x:c r="A11" s="38" t="str">
        <x:f>'Raw_Data'!A11</x:f>
        <x:v>BT Group</x:v>
      </x:c>
      <x:c r="B11" s="38" t="str">
        <x:f>'Raw_Data'!B11</x:f>
        <x:v>BT.A</x:v>
      </x:c>
      <x:c r="C11" s="38" t="str">
        <x:f>'Raw_Data'!C11</x:f>
        <x:v>Telecom</x:v>
      </x:c>
      <x:c r="D11" s="38" t="str">
        <x:f>'Raw_Data'!D11</x:f>
        <x:v>GBP</x:v>
      </x:c>
      <x:c r="E11" s="38" t="n">
        <x:f>'Raw_Data'!E11</x:f>
        <x:v>2026</x:v>
      </x:c>
      <x:c r="F11" s="42" t="n">
        <x:f>'Raw_Data'!F11</x:f>
        <x:v>19654</x:v>
      </x:c>
      <x:c r="G11" s="42" t="n">
        <x:f>'Raw_Data'!G11</x:f>
        <x:v>2897</x:v>
      </x:c>
      <x:c r="H11" s="42" t="n">
        <x:f>'Raw_Data'!H11</x:f>
        <x:v>1397</x:v>
      </x:c>
      <x:c r="I11" s="42" t="n">
        <x:f>'Raw_Data'!I11</x:f>
        <x:v>22720</x:v>
      </x:c>
      <x:c r="J11" s="44" t="n">
        <x:f>'Raw_Data'!J11</x:f>
        <x:v>0.0947</x:v>
      </x:c>
      <x:c r="K11" s="45" t="n">
        <x:f>IFERROR(G11/F11,"")</x:f>
        <x:v>0.14740002035209118</x:v>
      </x:c>
      <x:c r="L11" s="48" t="n">
        <x:f>IFERROR(G11/ABS(H11),"")</x:f>
        <x:v>2.073729420186113</x:v>
      </x:c>
      <x:c r="M11" s="48" t="n">
        <x:f>IFERROR(I11/F11,"")</x:f>
        <x:v>1.1559987788745294</x:v>
      </x:c>
      <x:c r="N11" s="48" t="n">
        <x:f>IF(G11&lt;=0,"",I11/G11)</x:f>
        <x:v>7.84259578874698</x:v>
      </x:c>
      <x:c r="O11" s="50" t="n">
        <x:f>F11*J11</x:f>
        <x:v>1861.2338000000002</x:v>
      </x:c>
      <x:c r="P11" s="45" t="n">
        <x:f>IFERROR(O11/I11,"")</x:f>
        <x:v>0.08192050176056338</x:v>
      </x:c>
      <x:c r="Q11" s="45" t="n">
        <x:f>IFERROR(F11/F10-1,"")</x:f>
        <x:v>-0.0345810000982415</x:v>
      </x:c>
      <x:c r="R11" s="45" t="n">
        <x:f>IFERROR(G11/G10-1,"")</x:f>
        <x:v>0.1625200642054574</x:v>
      </x:c>
      <x:c r="S11" s="45" t="n">
        <x:f>IFERROR(I11/I10-1,"")</x:f>
        <x:v>-0.026271803882912614</x:v>
      </x:c>
      <x:c r="T11" s="45" t="n">
        <x:f>IFERROR(K11-K10,"")</x:f>
        <x:v>0.024991139322520492</x:v>
      </x:c>
      <x:c r="U11" s="73"/>
      <x:c r="V11" s="73"/>
      <x:c r="W11" s="73"/>
      <x:c r="X11" s="73"/>
      <x:c r="Y11" s="73"/>
      <x:c r="Z11" s="73"/>
      <x:c r="AA11" s="73"/>
    </x:row>
    <x:row r="12">
      <x:c r="A12" s="38" t="str">
        <x:f>'Raw_Data'!A12</x:f>
        <x:v>Compass Group</x:v>
      </x:c>
      <x:c r="B12" s="38" t="str">
        <x:f>'Raw_Data'!B12</x:f>
        <x:v>CPG</x:v>
      </x:c>
      <x:c r="C12" s="38" t="str">
        <x:f>'Raw_Data'!C12</x:f>
        <x:v>Industrials &amp; Services</x:v>
      </x:c>
      <x:c r="D12" s="38" t="str">
        <x:f>'Raw_Data'!D12</x:f>
        <x:v>USD</x:v>
      </x:c>
      <x:c r="E12" s="38" t="n">
        <x:f>'Raw_Data'!E12</x:f>
        <x:v>2022</x:v>
      </x:c>
      <x:c r="F12" s="42" t="n">
        <x:f>'Raw_Data'!F12</x:f>
        <x:v>28446</x:v>
      </x:c>
      <x:c r="G12" s="42" t="n">
        <x:f>'Raw_Data'!G12</x:f>
        <x:v>1672</x:v>
      </x:c>
      <x:c r="H12" s="42" t="n">
        <x:f>'Raw_Data'!H12</x:f>
        <x:v>123.76</x:v>
      </x:c>
      <x:c r="I12" s="42" t="n">
        <x:f>'Raw_Data'!I12</x:f>
        <x:v>5438</x:v>
      </x:c>
      <x:c r="J12" s="44" t="n">
        <x:f>'Raw_Data'!J12</x:f>
        <x:v>0.0515</x:v>
      </x:c>
      <x:c r="K12" s="45" t="n">
        <x:f>IFERROR(G12/F12,"")</x:f>
        <x:v>0.05877803557617943</x:v>
      </x:c>
      <x:c r="L12" s="48" t="n">
        <x:f>IFERROR(G12/ABS(H12),"")</x:f>
        <x:v>13.510019392372334</x:v>
      </x:c>
      <x:c r="M12" s="48" t="n">
        <x:f>IFERROR(I12/F12,"")</x:f>
        <x:v>0.191169232932574</x:v>
      </x:c>
      <x:c r="N12" s="48" t="n">
        <x:f>IF(G12&lt;=0,"",I12/G12)</x:f>
        <x:v>3.2523923444976077</x:v>
      </x:c>
      <x:c r="O12" s="50" t="n">
        <x:f>F12*J12</x:f>
        <x:v>1464.9689999999998</x:v>
      </x:c>
      <x:c r="P12" s="45" t="n">
        <x:f>IFERROR(O12/I12,"")</x:f>
        <x:v>0.26939481426995215</x:v>
      </x:c>
      <x:c r="Q12" s="45" t="str"/>
      <x:c r="R12" s="45" t="str"/>
      <x:c r="S12" s="45" t="str"/>
      <x:c r="T12" s="45" t="str"/>
      <x:c r="U12" s="73"/>
      <x:c r="V12" s="73"/>
      <x:c r="W12" s="73"/>
      <x:c r="X12" s="73"/>
      <x:c r="Y12" s="73"/>
      <x:c r="Z12" s="73"/>
      <x:c r="AA12" s="73"/>
    </x:row>
    <x:row r="13">
      <x:c r="A13" s="38" t="str">
        <x:f>'Raw_Data'!A13</x:f>
        <x:v>Compass Group</x:v>
      </x:c>
      <x:c r="B13" s="38" t="str">
        <x:f>'Raw_Data'!B13</x:f>
        <x:v>CPG</x:v>
      </x:c>
      <x:c r="C13" s="38" t="str">
        <x:f>'Raw_Data'!C13</x:f>
        <x:v>Industrials &amp; Services</x:v>
      </x:c>
      <x:c r="D13" s="38" t="str">
        <x:f>'Raw_Data'!D13</x:f>
        <x:v>USD</x:v>
      </x:c>
      <x:c r="E13" s="38" t="n">
        <x:f>'Raw_Data'!E13</x:f>
        <x:v>2023</x:v>
      </x:c>
      <x:c r="F13" s="42" t="n">
        <x:f>'Raw_Data'!F13</x:f>
        <x:v>37907</x:v>
      </x:c>
      <x:c r="G13" s="42" t="n">
        <x:f>'Raw_Data'!G13</x:f>
        <x:v>2313</x:v>
      </x:c>
      <x:c r="H13" s="42" t="n">
        <x:f>'Raw_Data'!H13</x:f>
        <x:v>225</x:v>
      </x:c>
      <x:c r="I13" s="42" t="n">
        <x:f>'Raw_Data'!I13</x:f>
        <x:v>5267</x:v>
      </x:c>
      <x:c r="J13" s="44" t="n">
        <x:f>'Raw_Data'!J13</x:f>
        <x:v>0.0552</x:v>
      </x:c>
      <x:c r="K13" s="45" t="n">
        <x:f>IFERROR(G13/F13,"")</x:f>
        <x:v>0.06101775397683805</x:v>
      </x:c>
      <x:c r="L13" s="48" t="n">
        <x:f>IFERROR(G13/ABS(H13),"")</x:f>
        <x:v>10.28</x:v>
      </x:c>
      <x:c r="M13" s="48" t="n">
        <x:f>IFERROR(I13/F13,"")</x:f>
        <x:v>0.1389453135304825</x:v>
      </x:c>
      <x:c r="N13" s="48" t="n">
        <x:f>IF(G13&lt;=0,"",I13/G13)</x:f>
        <x:v>2.277129269347168</x:v>
      </x:c>
      <x:c r="O13" s="50" t="n">
        <x:f>F13*J13</x:f>
        <x:v>2092.4664</x:v>
      </x:c>
      <x:c r="P13" s="45" t="n">
        <x:f>IFERROR(O13/I13,"")</x:f>
        <x:v>0.3972786026200873</x:v>
      </x:c>
      <x:c r="Q13" s="45" t="n">
        <x:f>IFERROR(F13/F12-1,"")</x:f>
        <x:v>0.33259509245588137</x:v>
      </x:c>
      <x:c r="R13" s="45" t="n">
        <x:f>IFERROR(G13/G12-1,"")</x:f>
        <x:v>0.3833732057416268</x:v>
      </x:c>
      <x:c r="S13" s="45" t="n">
        <x:f>IFERROR(I13/I12-1,"")</x:f>
        <x:v>-0.031445384332475124</x:v>
      </x:c>
      <x:c r="T13" s="45" t="n">
        <x:f>IFERROR(K13-K12,"")</x:f>
        <x:v>0.002239718400658619</x:v>
      </x:c>
      <x:c r="U13" s="73"/>
      <x:c r="V13" s="73"/>
      <x:c r="W13" s="73"/>
      <x:c r="X13" s="73"/>
      <x:c r="Y13" s="73"/>
      <x:c r="Z13" s="73"/>
      <x:c r="AA13" s="73"/>
    </x:row>
    <x:row r="14">
      <x:c r="A14" s="38" t="str">
        <x:f>'Raw_Data'!A14</x:f>
        <x:v>Compass Group</x:v>
      </x:c>
      <x:c r="B14" s="38" t="str">
        <x:f>'Raw_Data'!B14</x:f>
        <x:v>CPG</x:v>
      </x:c>
      <x:c r="C14" s="38" t="str">
        <x:f>'Raw_Data'!C14</x:f>
        <x:v>Industrials &amp; Services</x:v>
      </x:c>
      <x:c r="D14" s="38" t="str">
        <x:f>'Raw_Data'!D14</x:f>
        <x:v>USD</x:v>
      </x:c>
      <x:c r="E14" s="38" t="n">
        <x:f>'Raw_Data'!E14</x:f>
        <x:v>2024</x:v>
      </x:c>
      <x:c r="F14" s="42" t="n">
        <x:f>'Raw_Data'!F14</x:f>
        <x:v>42002</x:v>
      </x:c>
      <x:c r="G14" s="42" t="n">
        <x:f>'Raw_Data'!G14</x:f>
        <x:v>2584</x:v>
      </x:c>
      <x:c r="H14" s="42" t="n">
        <x:f>'Raw_Data'!H14</x:f>
        <x:v>393</x:v>
      </x:c>
      <x:c r="I14" s="42" t="n">
        <x:f>'Raw_Data'!I14</x:f>
        <x:v>5911</x:v>
      </x:c>
      <x:c r="J14" s="44" t="n">
        <x:f>'Raw_Data'!J14</x:f>
        <x:v>0.061</x:v>
      </x:c>
      <x:c r="K14" s="45" t="n">
        <x:f>IFERROR(G14/F14,"")</x:f>
        <x:v>0.061520879958097234</x:v>
      </x:c>
      <x:c r="L14" s="48" t="n">
        <x:f>IFERROR(G14/ABS(H14),"")</x:f>
        <x:v>6.575063613231552</x:v>
      </x:c>
      <x:c r="M14" s="48" t="n">
        <x:f>IFERROR(I14/F14,"")</x:f>
        <x:v>0.14073139374315508</x:v>
      </x:c>
      <x:c r="N14" s="48" t="n">
        <x:f>IF(G14&lt;=0,"",I14/G14)</x:f>
        <x:v>2.2875386996904026</x:v>
      </x:c>
      <x:c r="O14" s="50" t="n">
        <x:f>F14*J14</x:f>
        <x:v>2562.122</x:v>
      </x:c>
      <x:c r="P14" s="45" t="n">
        <x:f>IFERROR(O14/I14,"")</x:f>
        <x:v>0.43344983928269326</x:v>
      </x:c>
      <x:c r="Q14" s="45" t="n">
        <x:f>IFERROR(F14/F13-1,"")</x:f>
        <x:v>0.1080275410873981</x:v>
      </x:c>
      <x:c r="R14" s="45" t="n">
        <x:f>IFERROR(G14/G13-1,"")</x:f>
        <x:v>0.11716385646346739</x:v>
      </x:c>
      <x:c r="S14" s="45" t="n">
        <x:f>IFERROR(I14/I13-1,"")</x:f>
        <x:v>0.12227074235807867</x:v>
      </x:c>
      <x:c r="T14" s="45" t="n">
        <x:f>IFERROR(K14-K13,"")</x:f>
        <x:v>0.0005031259812591851</x:v>
      </x:c>
      <x:c r="U14" s="73"/>
      <x:c r="V14" s="73"/>
      <x:c r="W14" s="73"/>
      <x:c r="X14" s="73"/>
      <x:c r="Y14" s="73"/>
      <x:c r="Z14" s="73"/>
      <x:c r="AA14" s="73"/>
    </x:row>
    <x:row r="15">
      <x:c r="A15" s="38" t="str">
        <x:f>'Raw_Data'!A15</x:f>
        <x:v>Compass Group</x:v>
      </x:c>
      <x:c r="B15" s="38" t="str">
        <x:f>'Raw_Data'!B15</x:f>
        <x:v>CPG</x:v>
      </x:c>
      <x:c r="C15" s="38" t="str">
        <x:f>'Raw_Data'!C15</x:f>
        <x:v>Industrials &amp; Services</x:v>
      </x:c>
      <x:c r="D15" s="38" t="str">
        <x:f>'Raw_Data'!D15</x:f>
        <x:v>USD</x:v>
      </x:c>
      <x:c r="E15" s="38" t="n">
        <x:f>'Raw_Data'!E15</x:f>
        <x:v>2025</x:v>
      </x:c>
      <x:c r="F15" s="42" t="n">
        <x:f>'Raw_Data'!F15</x:f>
        <x:v>46070</x:v>
      </x:c>
      <x:c r="G15" s="42" t="n">
        <x:f>'Raw_Data'!G15</x:f>
        <x:v>2964</x:v>
      </x:c>
      <x:c r="H15" s="42" t="n">
        <x:f>'Raw_Data'!H15</x:f>
        <x:v>429</x:v>
      </x:c>
      <x:c r="I15" s="42" t="n">
        <x:f>'Raw_Data'!I15</x:f>
        <x:v>6992</x:v>
      </x:c>
      <x:c r="J15" s="44" t="n">
        <x:f>'Raw_Data'!J15</x:f>
        <x:v>0.0612</x:v>
      </x:c>
      <x:c r="K15" s="45" t="n">
        <x:f>IFERROR(G15/F15,"")</x:f>
        <x:v>0.06433687866290427</x:v>
      </x:c>
      <x:c r="L15" s="48" t="n">
        <x:f>IFERROR(G15/ABS(H15),"")</x:f>
        <x:v>6.909090909090909</x:v>
      </x:c>
      <x:c r="M15" s="48" t="n">
        <x:f>IFERROR(I15/F15,"")</x:f>
        <x:v>0.15176904710223574</x:v>
      </x:c>
      <x:c r="N15" s="48" t="n">
        <x:f>IF(G15&lt;=0,"",I15/G15)</x:f>
        <x:v>2.358974358974359</x:v>
      </x:c>
      <x:c r="O15" s="50" t="n">
        <x:f>F15*J15</x:f>
        <x:v>2819.484</x:v>
      </x:c>
      <x:c r="P15" s="45" t="n">
        <x:f>IFERROR(O15/I15,"")</x:f>
        <x:v>0.40324427917620137</x:v>
      </x:c>
      <x:c r="Q15" s="45" t="n">
        <x:f>IFERROR(F15/F14-1,"")</x:f>
        <x:v>0.09685253083186507</x:v>
      </x:c>
      <x:c r="R15" s="45" t="n">
        <x:f>IFERROR(G15/G14-1,"")</x:f>
        <x:v>0.1470588235294117</x:v>
      </x:c>
      <x:c r="S15" s="45" t="n">
        <x:f>IFERROR(I15/I14-1,"")</x:f>
        <x:v>0.18287937743190663</x:v>
      </x:c>
      <x:c r="T15" s="45" t="n">
        <x:f>IFERROR(K15-K14,"")</x:f>
        <x:v>0.0028159987048070392</x:v>
      </x:c>
      <x:c r="U15" s="73"/>
      <x:c r="V15" s="73"/>
      <x:c r="W15" s="73"/>
      <x:c r="X15" s="73"/>
      <x:c r="Y15" s="73"/>
      <x:c r="Z15" s="73"/>
      <x:c r="AA15" s="73"/>
    </x:row>
    <x:row r="16">
      <x:c r="A16" s="38" t="str">
        <x:f>'Raw_Data'!A16</x:f>
        <x:v>Diageo</x:v>
      </x:c>
      <x:c r="B16" s="38" t="str">
        <x:f>'Raw_Data'!B16</x:f>
        <x:v>DGE</x:v>
      </x:c>
      <x:c r="C16" s="38" t="str">
        <x:f>'Raw_Data'!C16</x:f>
        <x:v>Consumer &amp; Retail</x:v>
      </x:c>
      <x:c r="D16" s="38" t="str">
        <x:f>'Raw_Data'!D16</x:f>
        <x:v>USD</x:v>
      </x:c>
      <x:c r="E16" s="38" t="n">
        <x:f>'Raw_Data'!E16</x:f>
        <x:v>2023</x:v>
      </x:c>
      <x:c r="F16" s="42" t="n">
        <x:f>'Raw_Data'!F16</x:f>
        <x:v>20555</x:v>
      </x:c>
      <x:c r="G16" s="42" t="n">
        <x:f>'Raw_Data'!G16</x:f>
        <x:v>6366</x:v>
      </x:c>
      <x:c r="H16" s="42" t="n">
        <x:f>'Raw_Data'!H16</x:f>
        <x:v>1059</x:v>
      </x:c>
      <x:c r="I16" s="42" t="n">
        <x:f>'Raw_Data'!I16</x:f>
        <x:v>21831</x:v>
      </x:c>
      <x:c r="J16" s="44" t="n">
        <x:f>'Raw_Data'!J16</x:f>
        <x:v>0.1079</x:v>
      </x:c>
      <x:c r="K16" s="45" t="n">
        <x:f>IFERROR(G16/F16,"")</x:f>
        <x:v>0.3097056677207492</x:v>
      </x:c>
      <x:c r="L16" s="48" t="n">
        <x:f>IFERROR(G16/ABS(H16),"")</x:f>
        <x:v>6.0113314447592066</x:v>
      </x:c>
      <x:c r="M16" s="48" t="n">
        <x:f>IFERROR(I16/F16,"")</x:f>
        <x:v>1.062077353441985</x:v>
      </x:c>
      <x:c r="N16" s="48" t="n">
        <x:f>IF(G16&lt;=0,"",I16/G16)</x:f>
        <x:v>3.4293119698397736</x:v>
      </x:c>
      <x:c r="O16" s="50" t="n">
        <x:f>F16*J16</x:f>
        <x:v>2217.8845</x:v>
      </x:c>
      <x:c r="P16" s="45" t="n">
        <x:f>IFERROR(O16/I16,"")</x:f>
        <x:v>0.10159335348815904</x:v>
      </x:c>
      <x:c r="Q16" s="45" t="str"/>
      <x:c r="R16" s="45" t="str"/>
      <x:c r="S16" s="45" t="str"/>
      <x:c r="T16" s="45" t="str"/>
      <x:c r="U16" s="73"/>
      <x:c r="V16" s="73"/>
      <x:c r="W16" s="73"/>
      <x:c r="X16" s="73"/>
      <x:c r="Y16" s="73"/>
      <x:c r="Z16" s="73"/>
      <x:c r="AA16" s="73"/>
    </x:row>
    <x:row r="17">
      <x:c r="A17" s="38" t="str">
        <x:f>'Raw_Data'!A17</x:f>
        <x:v>Diageo</x:v>
      </x:c>
      <x:c r="B17" s="38" t="str">
        <x:f>'Raw_Data'!B17</x:f>
        <x:v>DGE</x:v>
      </x:c>
      <x:c r="C17" s="38" t="str">
        <x:f>'Raw_Data'!C17</x:f>
        <x:v>Consumer &amp; Retail</x:v>
      </x:c>
      <x:c r="D17" s="38" t="str">
        <x:f>'Raw_Data'!D17</x:f>
        <x:v>USD</x:v>
      </x:c>
      <x:c r="E17" s="38" t="n">
        <x:f>'Raw_Data'!E17</x:f>
        <x:v>2024</x:v>
      </x:c>
      <x:c r="F17" s="42" t="n">
        <x:f>'Raw_Data'!F17</x:f>
        <x:v>20269</x:v>
      </x:c>
      <x:c r="G17" s="42" t="n">
        <x:f>'Raw_Data'!G17</x:f>
        <x:v>5999</x:v>
      </x:c>
      <x:c r="H17" s="42" t="n">
        <x:f>'Raw_Data'!H17</x:f>
        <x:v>1212</x:v>
      </x:c>
      <x:c r="I17" s="42" t="n">
        <x:f>'Raw_Data'!I17</x:f>
        <x:v>22481</x:v>
      </x:c>
      <x:c r="J17" s="44" t="n">
        <x:f>'Raw_Data'!J17</x:f>
        <x:v>0.128</x:v>
      </x:c>
      <x:c r="K17" s="45" t="n">
        <x:f>IFERROR(G17/F17,"")</x:f>
        <x:v>0.29596921407074844</x:v>
      </x:c>
      <x:c r="L17" s="48" t="n">
        <x:f>IFERROR(G17/ABS(H17),"")</x:f>
        <x:v>4.9496699669967</x:v>
      </x:c>
      <x:c r="M17" s="48" t="n">
        <x:f>IFERROR(I17/F17,"")</x:f>
        <x:v>1.1091321722827965</x:v>
      </x:c>
      <x:c r="N17" s="48" t="n">
        <x:f>IF(G17&lt;=0,"",I17/G17)</x:f>
        <x:v>3.7474579096516085</x:v>
      </x:c>
      <x:c r="O17" s="50" t="n">
        <x:f>F17*J17</x:f>
        <x:v>2594.4320000000002</x:v>
      </x:c>
      <x:c r="P17" s="45" t="n">
        <x:f>IFERROR(O17/I17,"")</x:f>
        <x:v>0.11540554245807572</x:v>
      </x:c>
      <x:c r="Q17" s="45" t="n">
        <x:f>IFERROR(F17/F16-1,"")</x:f>
        <x:v>-0.013913889564582838</x:v>
      </x:c>
      <x:c r="R17" s="45" t="n">
        <x:f>IFERROR(G17/G16-1,"")</x:f>
        <x:v>-0.057650015708451186</x:v>
      </x:c>
      <x:c r="S17" s="45" t="n">
        <x:f>IFERROR(I17/I16-1,"")</x:f>
        <x:v>0.029774174339242343</x:v>
      </x:c>
      <x:c r="T17" s="45" t="n">
        <x:f>IFERROR(K17-K16,"")</x:f>
        <x:v>-0.013736453650000757</x:v>
      </x:c>
      <x:c r="U17" s="73"/>
      <x:c r="V17" s="73"/>
      <x:c r="W17" s="73"/>
      <x:c r="X17" s="73"/>
      <x:c r="Y17" s="73"/>
      <x:c r="Z17" s="73"/>
      <x:c r="AA17" s="73"/>
    </x:row>
    <x:row r="18">
      <x:c r="A18" s="38" t="str">
        <x:f>'Raw_Data'!A18</x:f>
        <x:v>Diageo</x:v>
      </x:c>
      <x:c r="B18" s="38" t="str">
        <x:f>'Raw_Data'!B18</x:f>
        <x:v>DGE</x:v>
      </x:c>
      <x:c r="C18" s="38" t="str">
        <x:f>'Raw_Data'!C18</x:f>
        <x:v>Consumer &amp; Retail</x:v>
      </x:c>
      <x:c r="D18" s="38" t="str">
        <x:f>'Raw_Data'!D18</x:f>
        <x:v>USD</x:v>
      </x:c>
      <x:c r="E18" s="38" t="n">
        <x:f>'Raw_Data'!E18</x:f>
        <x:v>2025</x:v>
      </x:c>
      <x:c r="F18" s="42" t="n">
        <x:f>'Raw_Data'!F18</x:f>
        <x:v>20245</x:v>
      </x:c>
      <x:c r="G18" s="42" t="n">
        <x:f>'Raw_Data'!G18</x:f>
        <x:v>5726</x:v>
      </x:c>
      <x:c r="H18" s="42" t="n">
        <x:f>'Raw_Data'!H18</x:f>
        <x:v>1196</x:v>
      </x:c>
      <x:c r="I18" s="42" t="n">
        <x:f>'Raw_Data'!I18</x:f>
        <x:v>24611</x:v>
      </x:c>
      <x:c r="J18" s="44" t="n">
        <x:f>'Raw_Data'!J18</x:f>
        <x:v>0.1326</x:v>
      </x:c>
      <x:c r="K18" s="45" t="n">
        <x:f>IFERROR(G18/F18,"")</x:f>
        <x:v>0.2828352679673994</x:v>
      </x:c>
      <x:c r="L18" s="48" t="n">
        <x:f>IFERROR(G18/ABS(H18),"")</x:f>
        <x:v>4.787625418060201</x:v>
      </x:c>
      <x:c r="M18" s="48" t="n">
        <x:f>IFERROR(I18/F18,"")</x:f>
        <x:v>1.2156581872067178</x:v>
      </x:c>
      <x:c r="N18" s="48" t="n">
        <x:f>IF(G18&lt;=0,"",I18/G18)</x:f>
        <x:v>4.298113866573524</x:v>
      </x:c>
      <x:c r="O18" s="50" t="n">
        <x:f>F18*J18</x:f>
        <x:v>2684.487</x:v>
      </x:c>
      <x:c r="P18" s="45" t="n">
        <x:f>IFERROR(O18/I18,"")</x:f>
        <x:v>0.10907671366462152</x:v>
      </x:c>
      <x:c r="Q18" s="45" t="n">
        <x:f>IFERROR(F18/F17-1,"")</x:f>
        <x:v>-0.0011840742019832984</x:v>
      </x:c>
      <x:c r="R18" s="45" t="n">
        <x:f>IFERROR(G18/G17-1,"")</x:f>
        <x:v>-0.04550758459743287</x:v>
      </x:c>
      <x:c r="S18" s="45" t="n">
        <x:f>IFERROR(I18/I17-1,"")</x:f>
        <x:v>0.09474667496997458</x:v>
      </x:c>
      <x:c r="T18" s="45" t="n">
        <x:f>IFERROR(K18-K17,"")</x:f>
        <x:v>-0.013133946103349059</x:v>
      </x:c>
      <x:c r="U18" s="73"/>
      <x:c r="V18" s="73"/>
      <x:c r="W18" s="73"/>
      <x:c r="X18" s="73"/>
      <x:c r="Y18" s="73"/>
      <x:c r="Z18" s="73"/>
      <x:c r="AA18" s="73"/>
    </x:row>
    <x:row r="19">
      <x:c r="A19" s="38" t="str">
        <x:f>'Raw_Data'!A19</x:f>
        <x:v>Diageo</x:v>
      </x:c>
      <x:c r="B19" s="38" t="str">
        <x:f>'Raw_Data'!B19</x:f>
        <x:v>DGE</x:v>
      </x:c>
      <x:c r="C19" s="38" t="str">
        <x:f>'Raw_Data'!C19</x:f>
        <x:v>Consumer &amp; Retail</x:v>
      </x:c>
      <x:c r="D19" s="38" t="str">
        <x:f>'Raw_Data'!D19</x:f>
        <x:v>USD</x:v>
      </x:c>
      <x:c r="E19" s="38" t="n">
        <x:f>'Raw_Data'!E19</x:f>
        <x:v>2026</x:v>
      </x:c>
      <x:c r="F19" s="42" t="n">
        <x:f>'Raw_Data'!F19</x:f>
        <x:v>19643</x:v>
      </x:c>
      <x:c r="G19" s="42" t="n">
        <x:f>'Raw_Data'!G19</x:f>
        <x:v>6174</x:v>
      </x:c>
      <x:c r="H19" s="42" t="n">
        <x:f>'Raw_Data'!H19</x:f>
        <x:v>1123</x:v>
      </x:c>
      <x:c r="I19" s="42" t="n">
        <x:f>'Raw_Data'!I19</x:f>
        <x:v>22307</x:v>
      </x:c>
      <x:c r="J19" s="44" t="n">
        <x:f>'Raw_Data'!J19</x:f>
        <x:v>0.1478</x:v>
      </x:c>
      <x:c r="K19" s="45" t="n">
        <x:f>IFERROR(G19/F19,"")</x:f>
        <x:v>0.31431044137860814</x:v>
      </x:c>
      <x:c r="L19" s="48" t="n">
        <x:f>IFERROR(G19/ABS(H19),"")</x:f>
        <x:v>5.497773820124666</x:v>
      </x:c>
      <x:c r="M19" s="48" t="n">
        <x:f>IFERROR(I19/F19,"")</x:f>
        <x:v>1.1356208318484957</x:v>
      </x:c>
      <x:c r="N19" s="48" t="n">
        <x:f>IF(G19&lt;=0,"",I19/G19)</x:f>
        <x:v>3.613054745707807</x:v>
      </x:c>
      <x:c r="O19" s="50" t="n">
        <x:f>F19*J19</x:f>
        <x:v>2903.2353999999996</x:v>
      </x:c>
      <x:c r="P19" s="45" t="n">
        <x:f>IFERROR(O19/I19,"")</x:f>
        <x:v>0.13014907428161562</x:v>
      </x:c>
      <x:c r="Q19" s="45" t="n">
        <x:f>IFERROR(F19/F18-1,"")</x:f>
        <x:v>-0.029735737219066416</x:v>
      </x:c>
      <x:c r="R19" s="45" t="n">
        <x:f>IFERROR(G19/G18-1,"")</x:f>
        <x:v>0.0782396088019559</x:v>
      </x:c>
      <x:c r="S19" s="45" t="n">
        <x:f>IFERROR(I19/I18-1,"")</x:f>
        <x:v>-0.09361667547031816</x:v>
      </x:c>
      <x:c r="T19" s="45" t="n">
        <x:f>IFERROR(K19-K18,"")</x:f>
        <x:v>0.03147517341120876</x:v>
      </x:c>
      <x:c r="U19" s="73"/>
      <x:c r="V19" s="73"/>
      <x:c r="W19" s="73"/>
      <x:c r="X19" s="73"/>
      <x:c r="Y19" s="73"/>
      <x:c r="Z19" s="73"/>
      <x:c r="AA19" s="73"/>
    </x:row>
    <x:row r="20">
      <x:c r="A20" s="38" t="str">
        <x:f>'Raw_Data'!A20</x:f>
        <x:v>GSK</x:v>
      </x:c>
      <x:c r="B20" s="38" t="str">
        <x:f>'Raw_Data'!B20</x:f>
        <x:v>GSK</x:v>
      </x:c>
      <x:c r="C20" s="38" t="str">
        <x:f>'Raw_Data'!C20</x:f>
        <x:v>Healthcare</x:v>
      </x:c>
      <x:c r="D20" s="38" t="str">
        <x:f>'Raw_Data'!D20</x:f>
        <x:v>GBP</x:v>
      </x:c>
      <x:c r="E20" s="38" t="n">
        <x:f>'Raw_Data'!E20</x:f>
        <x:v>2022</x:v>
      </x:c>
      <x:c r="F20" s="42" t="n">
        <x:f>'Raw_Data'!F20</x:f>
        <x:v>29324</x:v>
      </x:c>
      <x:c r="G20" s="42" t="n">
        <x:f>'Raw_Data'!G20</x:f>
        <x:v>7322</x:v>
      </x:c>
      <x:c r="H20" s="42" t="n">
        <x:f>'Raw_Data'!H20</x:f>
        <x:v>819</x:v>
      </x:c>
      <x:c r="I20" s="42" t="n">
        <x:f>'Raw_Data'!I20</x:f>
        <x:v>20987</x:v>
      </x:c>
      <x:c r="J20" s="44" t="n">
        <x:f>'Raw_Data'!J20</x:f>
        <x:v>0.2135</x:v>
      </x:c>
      <x:c r="K20" s="45" t="n">
        <x:f>IFERROR(G20/F20,"")</x:f>
        <x:v>0.24969308416314281</x:v>
      </x:c>
      <x:c r="L20" s="48" t="n">
        <x:f>IFERROR(G20/ABS(H20),"")</x:f>
        <x:v>8.94017094017094</x:v>
      </x:c>
      <x:c r="M20" s="48" t="n">
        <x:f>IFERROR(I20/F20,"")</x:f>
        <x:v>0.7156936297912972</x:v>
      </x:c>
      <x:c r="N20" s="48" t="n">
        <x:f>IF(G20&lt;=0,"",I20/G20)</x:f>
        <x:v>2.866293362469271</x:v>
      </x:c>
      <x:c r="O20" s="50" t="n">
        <x:f>F20*J20</x:f>
        <x:v>6260.674</x:v>
      </x:c>
      <x:c r="P20" s="45" t="n">
        <x:f>IFERROR(O20/I20,"")</x:f>
        <x:v>0.2983120026683185</x:v>
      </x:c>
      <x:c r="Q20" s="45" t="str"/>
      <x:c r="R20" s="45" t="str"/>
      <x:c r="S20" s="45" t="str"/>
      <x:c r="T20" s="45" t="str"/>
      <x:c r="U20" s="73"/>
      <x:c r="V20" s="73"/>
      <x:c r="W20" s="73"/>
      <x:c r="X20" s="73"/>
      <x:c r="Y20" s="73"/>
      <x:c r="Z20" s="73"/>
      <x:c r="AA20" s="73"/>
    </x:row>
    <x:row r="21">
      <x:c r="A21" s="38" t="str">
        <x:f>'Raw_Data'!A21</x:f>
        <x:v>GSK</x:v>
      </x:c>
      <x:c r="B21" s="38" t="str">
        <x:f>'Raw_Data'!B21</x:f>
        <x:v>GSK</x:v>
      </x:c>
      <x:c r="C21" s="38" t="str">
        <x:f>'Raw_Data'!C21</x:f>
        <x:v>Healthcare</x:v>
      </x:c>
      <x:c r="D21" s="38" t="str">
        <x:f>'Raw_Data'!D21</x:f>
        <x:v>GBP</x:v>
      </x:c>
      <x:c r="E21" s="38" t="n">
        <x:f>'Raw_Data'!E21</x:f>
        <x:v>2023</x:v>
      </x:c>
      <x:c r="F21" s="42" t="n">
        <x:f>'Raw_Data'!F21</x:f>
        <x:v>30328</x:v>
      </x:c>
      <x:c r="G21" s="42" t="n">
        <x:f>'Raw_Data'!G21</x:f>
        <x:v>8403</x:v>
      </x:c>
      <x:c r="H21" s="42" t="n">
        <x:f>'Raw_Data'!H21</x:f>
        <x:v>710</x:v>
      </x:c>
      <x:c r="I21" s="42" t="n">
        <x:f>'Raw_Data'!I21</x:f>
        <x:v>18018</x:v>
      </x:c>
      <x:c r="J21" s="44" t="n">
        <x:f>'Raw_Data'!J21</x:f>
        <x:v>0.1798</x:v>
      </x:c>
      <x:c r="K21" s="45" t="n">
        <x:f>IFERROR(G21/F21,"")</x:f>
        <x:v>0.27707069374835136</x:v>
      </x:c>
      <x:c r="L21" s="48" t="n">
        <x:f>IFERROR(G21/ABS(H21),"")</x:f>
        <x:v>11.835211267605635</x:v>
      </x:c>
      <x:c r="M21" s="48" t="n">
        <x:f>IFERROR(I21/F21,"")</x:f>
        <x:v>0.5941044579266684</x:v>
      </x:c>
      <x:c r="N21" s="48" t="n">
        <x:f>IF(G21&lt;=0,"",I21/G21)</x:f>
        <x:v>2.144234202070689</x:v>
      </x:c>
      <x:c r="O21" s="50" t="n">
        <x:f>F21*J21</x:f>
        <x:v>5452.9744</x:v>
      </x:c>
      <x:c r="P21" s="45" t="n">
        <x:f>IFERROR(O21/I21,"")</x:f>
        <x:v>0.30264038184038183</x:v>
      </x:c>
      <x:c r="Q21" s="45" t="n">
        <x:f>IFERROR(F21/F20-1,"")</x:f>
        <x:v>0.03423816668940116</x:v>
      </x:c>
      <x:c r="R21" s="45" t="n">
        <x:f>IFERROR(G21/G20-1,"")</x:f>
        <x:v>0.1476372575798961</x:v>
      </x:c>
      <x:c r="S21" s="45" t="n">
        <x:f>IFERROR(I21/I20-1,"")</x:f>
        <x:v>-0.14146852813646538</x:v>
      </x:c>
      <x:c r="T21" s="45" t="n">
        <x:f>IFERROR(K21-K20,"")</x:f>
        <x:v>0.027377609585208545</x:v>
      </x:c>
      <x:c r="U21" s="73"/>
      <x:c r="V21" s="73"/>
      <x:c r="W21" s="73"/>
      <x:c r="X21" s="73"/>
      <x:c r="Y21" s="73"/>
      <x:c r="Z21" s="73"/>
      <x:c r="AA21" s="73"/>
    </x:row>
    <x:row r="22">
      <x:c r="A22" s="38" t="str">
        <x:f>'Raw_Data'!A22</x:f>
        <x:v>GSK</x:v>
      </x:c>
      <x:c r="B22" s="38" t="str">
        <x:f>'Raw_Data'!B22</x:f>
        <x:v>GSK</x:v>
      </x:c>
      <x:c r="C22" s="38" t="str">
        <x:f>'Raw_Data'!C22</x:f>
        <x:v>Healthcare</x:v>
      </x:c>
      <x:c r="D22" s="38" t="str">
        <x:f>'Raw_Data'!D22</x:f>
        <x:v>GBP</x:v>
      </x:c>
      <x:c r="E22" s="38" t="n">
        <x:f>'Raw_Data'!E22</x:f>
        <x:v>2024</x:v>
      </x:c>
      <x:c r="F22" s="42" t="n">
        <x:f>'Raw_Data'!F22</x:f>
        <x:v>31376</x:v>
      </x:c>
      <x:c r="G22" s="42" t="n">
        <x:f>'Raw_Data'!G22</x:f>
        <x:v>6190</x:v>
      </x:c>
      <x:c r="H22" s="42" t="n">
        <x:f>'Raw_Data'!H22</x:f>
        <x:v>615</x:v>
      </x:c>
      <x:c r="I22" s="42" t="n">
        <x:f>'Raw_Data'!I22</x:f>
        <x:v>16986</x:v>
      </x:c>
      <x:c r="J22" s="44" t="n">
        <x:f>'Raw_Data'!J22</x:f>
        <x:v>0.1643</x:v>
      </x:c>
      <x:c r="K22" s="45" t="n">
        <x:f>IFERROR(G22/F22,"")</x:f>
        <x:v>0.19728454869964304</x:v>
      </x:c>
      <x:c r="L22" s="48" t="n">
        <x:f>IFERROR(G22/ABS(H22),"")</x:f>
        <x:v>10.065040650406504</x:v>
      </x:c>
      <x:c r="M22" s="48" t="n">
        <x:f>IFERROR(I22/F22,"")</x:f>
        <x:v>0.5413691993880673</x:v>
      </x:c>
      <x:c r="N22" s="48" t="n">
        <x:f>IF(G22&lt;=0,"",I22/G22)</x:f>
        <x:v>2.7441033925686593</x:v>
      </x:c>
      <x:c r="O22" s="50" t="n">
        <x:f>F22*J22</x:f>
        <x:v>5155.0768</x:v>
      </x:c>
      <x:c r="P22" s="45" t="n">
        <x:f>IFERROR(O22/I22,"")</x:f>
        <x:v>0.30348974449546684</x:v>
      </x:c>
      <x:c r="Q22" s="45" t="n">
        <x:f>IFERROR(F22/F21-1,"")</x:f>
        <x:v>0.034555526246373036</x:v>
      </x:c>
      <x:c r="R22" s="45" t="n">
        <x:f>IFERROR(G22/G21-1,"")</x:f>
        <x:v>-0.2633583244079496</x:v>
      </x:c>
      <x:c r="S22" s="45" t="n">
        <x:f>IFERROR(I22/I21-1,"")</x:f>
        <x:v>-0.057276057276057224</x:v>
      </x:c>
      <x:c r="T22" s="45" t="n">
        <x:f>IFERROR(K22-K21,"")</x:f>
        <x:v>-0.07978614504870832</x:v>
      </x:c>
      <x:c r="U22" s="73"/>
      <x:c r="V22" s="73"/>
      <x:c r="W22" s="73"/>
      <x:c r="X22" s="73"/>
      <x:c r="Y22" s="73"/>
      <x:c r="Z22" s="73"/>
      <x:c r="AA22" s="73"/>
    </x:row>
    <x:row r="23">
      <x:c r="A23" s="38" t="str">
        <x:f>'Raw_Data'!A23</x:f>
        <x:v>GSK</x:v>
      </x:c>
      <x:c r="B23" s="38" t="str">
        <x:f>'Raw_Data'!B23</x:f>
        <x:v>GSK</x:v>
      </x:c>
      <x:c r="C23" s="38" t="str">
        <x:f>'Raw_Data'!C23</x:f>
        <x:v>Healthcare</x:v>
      </x:c>
      <x:c r="D23" s="38" t="str">
        <x:f>'Raw_Data'!D23</x:f>
        <x:v>GBP</x:v>
      </x:c>
      <x:c r="E23" s="38" t="n">
        <x:f>'Raw_Data'!E23</x:f>
        <x:v>2025</x:v>
      </x:c>
      <x:c r="F23" s="42" t="n">
        <x:f>'Raw_Data'!F23</x:f>
        <x:v>32667</x:v>
      </x:c>
      <x:c r="G23" s="42" t="n">
        <x:f>'Raw_Data'!G23</x:f>
        <x:v>9447</x:v>
      </x:c>
      <x:c r="H23" s="42" t="n">
        <x:f>'Raw_Data'!H23</x:f>
        <x:v>658</x:v>
      </x:c>
      <x:c r="I23" s="42" t="n">
        <x:f>'Raw_Data'!I23</x:f>
        <x:v>17787</x:v>
      </x:c>
      <x:c r="J23" s="44" t="n">
        <x:f>'Raw_Data'!J23</x:f>
        <x:v>0.1957</x:v>
      </x:c>
      <x:c r="K23" s="45" t="n">
        <x:f>IFERROR(G23/F23,"")</x:f>
        <x:v>0.28919092662319773</x:v>
      </x:c>
      <x:c r="L23" s="48" t="n">
        <x:f>IFERROR(G23/ABS(H23),"")</x:f>
        <x:v>14.357142857142858</x:v>
      </x:c>
      <x:c r="M23" s="48" t="n">
        <x:f>IFERROR(I23/F23,"")</x:f>
        <x:v>0.5444944439342456</x:v>
      </x:c>
      <x:c r="N23" s="48" t="n">
        <x:f>IF(G23&lt;=0,"",I23/G23)</x:f>
        <x:v>1.8828199428389965</x:v>
      </x:c>
      <x:c r="O23" s="50" t="n">
        <x:f>F23*J23</x:f>
        <x:v>6392.9319000000005</x:v>
      </x:c>
      <x:c r="P23" s="45" t="n">
        <x:f>IFERROR(O23/I23,"")</x:f>
        <x:v>0.35941597233934897</x:v>
      </x:c>
      <x:c r="Q23" s="45" t="n">
        <x:f>IFERROR(F23/F22-1,"")</x:f>
        <x:v>0.04114609892911769</x:v>
      </x:c>
      <x:c r="R23" s="45" t="n">
        <x:f>IFERROR(G23/G22-1,"")</x:f>
        <x:v>0.5261712439418418</x:v>
      </x:c>
      <x:c r="S23" s="45" t="n">
        <x:f>IFERROR(I23/I22-1,"")</x:f>
        <x:v>0.047156481808548145</x:v>
      </x:c>
      <x:c r="T23" s="45" t="n">
        <x:f>IFERROR(K23-K22,"")</x:f>
        <x:v>0.09190637792355469</x:v>
      </x:c>
      <x:c r="U23" s="73"/>
      <x:c r="V23" s="73"/>
      <x:c r="W23" s="73"/>
      <x:c r="X23" s="73"/>
      <x:c r="Y23" s="73"/>
      <x:c r="Z23" s="73"/>
      <x:c r="AA23" s="73"/>
    </x:row>
    <x:row r="24">
      <x:c r="A24" s="38" t="str">
        <x:f>'Raw_Data'!A24</x:f>
        <x:v>National Grid</x:v>
      </x:c>
      <x:c r="B24" s="38" t="str">
        <x:f>'Raw_Data'!B24</x:f>
        <x:v>NG</x:v>
      </x:c>
      <x:c r="C24" s="38" t="str">
        <x:f>'Raw_Data'!C24</x:f>
        <x:v>Utilities</x:v>
      </x:c>
      <x:c r="D24" s="38" t="str">
        <x:f>'Raw_Data'!D24</x:f>
        <x:v>GBP</x:v>
      </x:c>
      <x:c r="E24" s="38" t="n">
        <x:f>'Raw_Data'!E24</x:f>
        <x:v>2023</x:v>
      </x:c>
      <x:c r="F24" s="42" t="n">
        <x:f>'Raw_Data'!F24</x:f>
        <x:v>21659</x:v>
      </x:c>
      <x:c r="G24" s="42" t="n">
        <x:f>'Raw_Data'!G24</x:f>
        <x:v>4205</x:v>
      </x:c>
      <x:c r="H24" s="42" t="n">
        <x:f>'Raw_Data'!H24</x:f>
        <x:v>1592</x:v>
      </x:c>
      <x:c r="I24" s="42" t="n">
        <x:f>'Raw_Data'!I24</x:f>
        <x:v>44104</x:v>
      </x:c>
      <x:c r="J24" s="44" t="n">
        <x:f>'Raw_Data'!J24</x:f>
        <x:v>0.0265</x:v>
      </x:c>
      <x:c r="K24" s="45" t="n">
        <x:f>IFERROR(G24/F24,"")</x:f>
        <x:v>0.19414562075811442</x:v>
      </x:c>
      <x:c r="L24" s="48" t="n">
        <x:f>IFERROR(G24/ABS(H24),"")</x:f>
        <x:v>2.6413316582914574</x:v>
      </x:c>
      <x:c r="M24" s="48" t="n">
        <x:f>IFERROR(I24/F24,"")</x:f>
        <x:v>2.0362897640703634</x:v>
      </x:c>
      <x:c r="N24" s="48" t="n">
        <x:f>IF(G24&lt;=0,"",I24/G24)</x:f>
        <x:v>10.4884661117717</x:v>
      </x:c>
      <x:c r="O24" s="50" t="n">
        <x:f>F24*J24</x:f>
        <x:v>573.9635</x:v>
      </x:c>
      <x:c r="P24" s="45" t="n">
        <x:f>IFERROR(O24/I24,"")</x:f>
        <x:v>0.013013864955559585</x:v>
      </x:c>
      <x:c r="Q24" s="45" t="str"/>
      <x:c r="R24" s="45" t="str"/>
      <x:c r="S24" s="45" t="str"/>
      <x:c r="T24" s="45" t="str"/>
      <x:c r="U24" s="73"/>
      <x:c r="V24" s="73"/>
      <x:c r="W24" s="73"/>
      <x:c r="X24" s="73"/>
      <x:c r="Y24" s="73"/>
      <x:c r="Z24" s="73"/>
      <x:c r="AA24" s="73"/>
    </x:row>
    <x:row r="25">
      <x:c r="A25" s="38" t="str">
        <x:f>'Raw_Data'!A25</x:f>
        <x:v>National Grid</x:v>
      </x:c>
      <x:c r="B25" s="38" t="str">
        <x:f>'Raw_Data'!B25</x:f>
        <x:v>NG</x:v>
      </x:c>
      <x:c r="C25" s="38" t="str">
        <x:f>'Raw_Data'!C25</x:f>
        <x:v>Utilities</x:v>
      </x:c>
      <x:c r="D25" s="38" t="str">
        <x:f>'Raw_Data'!D25</x:f>
        <x:v>GBP</x:v>
      </x:c>
      <x:c r="E25" s="38" t="n">
        <x:f>'Raw_Data'!E25</x:f>
        <x:v>2024</x:v>
      </x:c>
      <x:c r="F25" s="42" t="n">
        <x:f>'Raw_Data'!F25</x:f>
        <x:v>19850</x:v>
      </x:c>
      <x:c r="G25" s="42" t="n">
        <x:f>'Raw_Data'!G25</x:f>
        <x:v>5586</x:v>
      </x:c>
      <x:c r="H25" s="42" t="n">
        <x:f>'Raw_Data'!H25</x:f>
        <x:v>1621</x:v>
      </x:c>
      <x:c r="I25" s="42" t="n">
        <x:f>'Raw_Data'!I25</x:f>
        <x:v>48198</x:v>
      </x:c>
      <x:c r="J25" s="44" t="n">
        <x:f>'Raw_Data'!J25</x:f>
        <x:v>0.0018</x:v>
      </x:c>
      <x:c r="K25" s="45" t="n">
        <x:f>IFERROR(G25/F25,"")</x:f>
        <x:v>0.2814105793450882</x:v>
      </x:c>
      <x:c r="L25" s="48" t="n">
        <x:f>IFERROR(G25/ABS(H25),"")</x:f>
        <x:v>3.446020974706971</x:v>
      </x:c>
      <x:c r="M25" s="48" t="n">
        <x:f>IFERROR(I25/F25,"")</x:f>
        <x:v>2.4281108312342568</x:v>
      </x:c>
      <x:c r="N25" s="48" t="n">
        <x:f>IF(G25&lt;=0,"",I25/G25)</x:f>
        <x:v>8.628356605800215</x:v>
      </x:c>
      <x:c r="O25" s="50" t="n">
        <x:f>F25*J25</x:f>
        <x:v>35.73</x:v>
      </x:c>
      <x:c r="P25" s="45" t="n">
        <x:f>IFERROR(O25/I25,"")</x:f>
        <x:v>0.0007413170670982198</x:v>
      </x:c>
      <x:c r="Q25" s="45" t="n">
        <x:f>IFERROR(F25/F24-1,"")</x:f>
        <x:v>-0.08352186158179054</x:v>
      </x:c>
      <x:c r="R25" s="45" t="n">
        <x:f>IFERROR(G25/G24-1,"")</x:f>
        <x:v>0.32841854934601655</x:v>
      </x:c>
      <x:c r="S25" s="45" t="n">
        <x:f>IFERROR(I25/I24-1,"")</x:f>
        <x:v>0.09282604752403412</x:v>
      </x:c>
      <x:c r="T25" s="45" t="n">
        <x:f>IFERROR(K25-K24,"")</x:f>
        <x:v>0.08726495858697375</x:v>
      </x:c>
      <x:c r="U25" s="73"/>
      <x:c r="V25" s="73"/>
      <x:c r="W25" s="73"/>
      <x:c r="X25" s="73"/>
      <x:c r="Y25" s="73"/>
      <x:c r="Z25" s="73"/>
      <x:c r="AA25" s="73"/>
    </x:row>
    <x:row r="26">
      <x:c r="A26" s="38" t="str">
        <x:f>'Raw_Data'!A26</x:f>
        <x:v>National Grid</x:v>
      </x:c>
      <x:c r="B26" s="38" t="str">
        <x:f>'Raw_Data'!B26</x:f>
        <x:v>NG</x:v>
      </x:c>
      <x:c r="C26" s="38" t="str">
        <x:f>'Raw_Data'!C26</x:f>
        <x:v>Utilities</x:v>
      </x:c>
      <x:c r="D26" s="38" t="str">
        <x:f>'Raw_Data'!D26</x:f>
        <x:v>GBP</x:v>
      </x:c>
      <x:c r="E26" s="38" t="n">
        <x:f>'Raw_Data'!E26</x:f>
        <x:v>2025</x:v>
      </x:c>
      <x:c r="F26" s="42" t="n">
        <x:f>'Raw_Data'!F26</x:f>
        <x:v>18378</x:v>
      </x:c>
      <x:c r="G26" s="42" t="n">
        <x:f>'Raw_Data'!G26</x:f>
        <x:v>4990</x:v>
      </x:c>
      <x:c r="H26" s="42" t="n">
        <x:f>'Raw_Data'!H26</x:f>
        <x:v>1680</x:v>
      </x:c>
      <x:c r="I26" s="42" t="n">
        <x:f>'Raw_Data'!I26</x:f>
        <x:v>48677</x:v>
      </x:c>
      <x:c r="J26" s="44" t="n">
        <x:f>'Raw_Data'!J26</x:f>
        <x:v>-0.1073</x:v>
      </x:c>
      <x:c r="K26" s="45" t="n">
        <x:f>IFERROR(G26/F26,"")</x:f>
        <x:v>0.27152029600609423</x:v>
      </x:c>
      <x:c r="L26" s="48" t="n">
        <x:f>IFERROR(G26/ABS(H26),"")</x:f>
        <x:v>2.9702380952380953</x:v>
      </x:c>
      <x:c r="M26" s="48" t="n">
        <x:f>IFERROR(I26/F26,"")</x:f>
        <x:v>2.6486560017412124</x:v>
      </x:c>
      <x:c r="N26" s="48" t="n">
        <x:f>IF(G26&lt;=0,"",I26/G26)</x:f>
        <x:v>9.754909819639279</x:v>
      </x:c>
      <x:c r="O26" s="50" t="n">
        <x:f>F26*J26</x:f>
        <x:v>-1971.9594000000002</x:v>
      </x:c>
      <x:c r="P26" s="45" t="n">
        <x:f>IFERROR(O26/I26,"")</x:f>
        <x:v>-0.04051111202415926</x:v>
      </x:c>
      <x:c r="Q26" s="45" t="n">
        <x:f>IFERROR(F26/F25-1,"")</x:f>
        <x:v>-0.07415617128463481</x:v>
      </x:c>
      <x:c r="R26" s="45" t="n">
        <x:f>IFERROR(G26/G25-1,"")</x:f>
        <x:v>-0.10669530970282848</x:v>
      </x:c>
      <x:c r="S26" s="45" t="n">
        <x:f>IFERROR(I26/I25-1,"")</x:f>
        <x:v>0.009938171708369747</x:v>
      </x:c>
      <x:c r="T26" s="45" t="n">
        <x:f>IFERROR(K26-K25,"")</x:f>
        <x:v>-0.009890283338993944</x:v>
      </x:c>
      <x:c r="U26" s="73"/>
      <x:c r="V26" s="73"/>
      <x:c r="W26" s="73"/>
      <x:c r="X26" s="73"/>
      <x:c r="Y26" s="73"/>
      <x:c r="Z26" s="73"/>
      <x:c r="AA26" s="73"/>
    </x:row>
    <x:row r="27">
      <x:c r="A27" s="38" t="str">
        <x:f>'Raw_Data'!A27</x:f>
        <x:v>National Grid</x:v>
      </x:c>
      <x:c r="B27" s="38" t="str">
        <x:f>'Raw_Data'!B27</x:f>
        <x:v>NG</x:v>
      </x:c>
      <x:c r="C27" s="38" t="str">
        <x:f>'Raw_Data'!C27</x:f>
        <x:v>Utilities</x:v>
      </x:c>
      <x:c r="D27" s="38" t="str">
        <x:f>'Raw_Data'!D27</x:f>
        <x:v>GBP</x:v>
      </x:c>
      <x:c r="E27" s="38" t="n">
        <x:f>'Raw_Data'!E27</x:f>
        <x:v>2026</x:v>
      </x:c>
      <x:c r="F27" s="42" t="n">
        <x:f>'Raw_Data'!F27</x:f>
        <x:v>17687</x:v>
      </x:c>
      <x:c r="G27" s="42" t="n">
        <x:f>'Raw_Data'!G27</x:f>
        <x:v>5169</x:v>
      </x:c>
      <x:c r="H27" s="42" t="n">
        <x:f>'Raw_Data'!H27</x:f>
        <x:v>1526</x:v>
      </x:c>
      <x:c r="I27" s="42" t="n">
        <x:f>'Raw_Data'!I27</x:f>
        <x:v>47705</x:v>
      </x:c>
      <x:c r="J27" s="44" t="n">
        <x:f>'Raw_Data'!J27</x:f>
        <x:v>-0.1221</x:v>
      </x:c>
      <x:c r="K27" s="45" t="n">
        <x:f>IFERROR(G27/F27,"")</x:f>
        <x:v>0.2922485441284559</x:v>
      </x:c>
      <x:c r="L27" s="48" t="n">
        <x:f>IFERROR(G27/ABS(H27),"")</x:f>
        <x:v>3.387287024901704</x:v>
      </x:c>
      <x:c r="M27" s="48" t="n">
        <x:f>IFERROR(I27/F27,"")</x:f>
        <x:v>2.697178718833041</x:v>
      </x:c>
      <x:c r="N27" s="48" t="n">
        <x:f>IF(G27&lt;=0,"",I27/G27)</x:f>
        <x:v>9.229057844844263</x:v>
      </x:c>
      <x:c r="O27" s="50" t="n">
        <x:f>F27*J27</x:f>
        <x:v>-2159.5827</x:v>
      </x:c>
      <x:c r="P27" s="45" t="n">
        <x:f>IFERROR(O27/I27,"")</x:f>
        <x:v>-0.04526952520700136</x:v>
      </x:c>
      <x:c r="Q27" s="45" t="n">
        <x:f>IFERROR(F27/F26-1,"")</x:f>
        <x:v>-0.037599303515072346</x:v>
      </x:c>
      <x:c r="R27" s="45" t="n">
        <x:f>IFERROR(G27/G26-1,"")</x:f>
        <x:v>0.03587174348697397</x:v>
      </x:c>
      <x:c r="S27" s="45" t="n">
        <x:f>IFERROR(I27/I26-1,"")</x:f>
        <x:v>-0.019968362881853885</x:v>
      </x:c>
      <x:c r="T27" s="45" t="n">
        <x:f>IFERROR(K27-K26,"")</x:f>
        <x:v>0.02072824812236168</x:v>
      </x:c>
      <x:c r="U27" s="73"/>
      <x:c r="V27" s="73"/>
      <x:c r="W27" s="73"/>
      <x:c r="X27" s="73"/>
      <x:c r="Y27" s="73"/>
      <x:c r="Z27" s="73"/>
      <x:c r="AA27" s="73"/>
    </x:row>
    <x:row r="28">
      <x:c r="A28" s="38" t="str">
        <x:f>'Raw_Data'!A28</x:f>
        <x:v>RELX</x:v>
      </x:c>
      <x:c r="B28" s="38" t="str">
        <x:f>'Raw_Data'!B28</x:f>
        <x:v>REL</x:v>
      </x:c>
      <x:c r="C28" s="38" t="str">
        <x:f>'Raw_Data'!C28</x:f>
        <x:v>Industrials &amp; Services</x:v>
      </x:c>
      <x:c r="D28" s="38" t="str">
        <x:f>'Raw_Data'!D28</x:f>
        <x:v>GBP</x:v>
      </x:c>
      <x:c r="E28" s="38" t="n">
        <x:f>'Raw_Data'!E28</x:f>
        <x:v>2022</x:v>
      </x:c>
      <x:c r="F28" s="42" t="n">
        <x:f>'Raw_Data'!F28</x:f>
        <x:v>8553</x:v>
      </x:c>
      <x:c r="G28" s="42" t="n">
        <x:f>'Raw_Data'!G28</x:f>
        <x:v>2299</x:v>
      </x:c>
      <x:c r="H28" s="42" t="n">
        <x:f>'Raw_Data'!H28</x:f>
        <x:v>194</x:v>
      </x:c>
      <x:c r="I28" s="42" t="n">
        <x:f>'Raw_Data'!I28</x:f>
        <x:v>6730</x:v>
      </x:c>
      <x:c r="J28" s="44" t="n">
        <x:f>'Raw_Data'!J28</x:f>
        <x:v>0.2765</x:v>
      </x:c>
      <x:c r="K28" s="45" t="n">
        <x:f>IFERROR(G28/F28,"")</x:f>
        <x:v>0.268794575002923</x:v>
      </x:c>
      <x:c r="L28" s="48" t="n">
        <x:f>IFERROR(G28/ABS(H28),"")</x:f>
        <x:v>11.850515463917526</x:v>
      </x:c>
      <x:c r="M28" s="48" t="n">
        <x:f>IFERROR(I28/F28,"")</x:f>
        <x:v>0.7868584122530107</x:v>
      </x:c>
      <x:c r="N28" s="48" t="n">
        <x:f>IF(G28&lt;=0,"",I28/G28)</x:f>
        <x:v>2.9273597216180947</x:v>
      </x:c>
      <x:c r="O28" s="50" t="n">
        <x:f>F28*J28</x:f>
        <x:v>2364.9045</x:v>
      </x:c>
      <x:c r="P28" s="45" t="n">
        <x:f>IFERROR(O28/I28,"")</x:f>
        <x:v>0.3513973997028232</x:v>
      </x:c>
      <x:c r="Q28" s="45" t="str"/>
      <x:c r="R28" s="45" t="str"/>
      <x:c r="S28" s="45" t="str"/>
      <x:c r="T28" s="45" t="str"/>
      <x:c r="U28" s="73"/>
      <x:c r="V28" s="73"/>
      <x:c r="W28" s="73"/>
      <x:c r="X28" s="73"/>
      <x:c r="Y28" s="73"/>
      <x:c r="Z28" s="73"/>
      <x:c r="AA28" s="73"/>
    </x:row>
    <x:row r="29">
      <x:c r="A29" s="38" t="str">
        <x:f>'Raw_Data'!A29</x:f>
        <x:v>RELX</x:v>
      </x:c>
      <x:c r="B29" s="38" t="str">
        <x:f>'Raw_Data'!B29</x:f>
        <x:v>REL</x:v>
      </x:c>
      <x:c r="C29" s="38" t="str">
        <x:f>'Raw_Data'!C29</x:f>
        <x:v>Industrials &amp; Services</x:v>
      </x:c>
      <x:c r="D29" s="38" t="str">
        <x:f>'Raw_Data'!D29</x:f>
        <x:v>GBP</x:v>
      </x:c>
      <x:c r="E29" s="38" t="n">
        <x:f>'Raw_Data'!E29</x:f>
        <x:v>2023</x:v>
      </x:c>
      <x:c r="F29" s="42" t="n">
        <x:f>'Raw_Data'!F29</x:f>
        <x:v>9161</x:v>
      </x:c>
      <x:c r="G29" s="42" t="n">
        <x:f>'Raw_Data'!G29</x:f>
        <x:v>2635</x:v>
      </x:c>
      <x:c r="H29" s="42" t="n">
        <x:f>'Raw_Data'!H29</x:f>
        <x:v>314</x:v>
      </x:c>
      <x:c r="I29" s="42" t="n">
        <x:f>'Raw_Data'!I29</x:f>
        <x:v>6497</x:v>
      </x:c>
      <x:c r="J29" s="44" t="n">
        <x:f>'Raw_Data'!J29</x:f>
        <x:v>0.2649</x:v>
      </x:c>
      <x:c r="K29" s="45" t="n">
        <x:f>IFERROR(G29/F29,"")</x:f>
        <x:v>0.28763235454644687</x:v>
      </x:c>
      <x:c r="L29" s="48" t="n">
        <x:f>IFERROR(G29/ABS(H29),"")</x:f>
        <x:v>8.39171974522293</x:v>
      </x:c>
      <x:c r="M29" s="48" t="n">
        <x:f>IFERROR(I29/F29,"")</x:f>
        <x:v>0.7092020521777098</x:v>
      </x:c>
      <x:c r="N29" s="48" t="n">
        <x:f>IF(G29&lt;=0,"",I29/G29)</x:f>
        <x:v>2.465654648956357</x:v>
      </x:c>
      <x:c r="O29" s="50" t="n">
        <x:f>F29*J29</x:f>
        <x:v>2426.7489</x:v>
      </x:c>
      <x:c r="P29" s="45" t="n">
        <x:f>IFERROR(O29/I29,"")</x:f>
        <x:v>0.3735183777127905</x:v>
      </x:c>
      <x:c r="Q29" s="45" t="n">
        <x:f>IFERROR(F29/F28-1,"")</x:f>
        <x:v>0.0710861685958144</x:v>
      </x:c>
      <x:c r="R29" s="45" t="n">
        <x:f>IFERROR(G29/G28-1,"")</x:f>
        <x:v>0.14615050021748588</x:v>
      </x:c>
      <x:c r="S29" s="45" t="n">
        <x:f>IFERROR(I29/I28-1,"")</x:f>
        <x:v>-0.03462109955423476</x:v>
      </x:c>
      <x:c r="T29" s="45" t="n">
        <x:f>IFERROR(K29-K28,"")</x:f>
        <x:v>0.01883777954352389</x:v>
      </x:c>
      <x:c r="U29" s="73"/>
      <x:c r="V29" s="73"/>
      <x:c r="W29" s="73"/>
      <x:c r="X29" s="73"/>
      <x:c r="Y29" s="73"/>
      <x:c r="Z29" s="73"/>
      <x:c r="AA29" s="73"/>
    </x:row>
    <x:row r="30">
      <x:c r="A30" s="38" t="str">
        <x:f>'Raw_Data'!A30</x:f>
        <x:v>RELX</x:v>
      </x:c>
      <x:c r="B30" s="38" t="str">
        <x:f>'Raw_Data'!B30</x:f>
        <x:v>REL</x:v>
      </x:c>
      <x:c r="C30" s="38" t="str">
        <x:f>'Raw_Data'!C30</x:f>
        <x:v>Industrials &amp; Services</x:v>
      </x:c>
      <x:c r="D30" s="38" t="str">
        <x:f>'Raw_Data'!D30</x:f>
        <x:v>GBP</x:v>
      </x:c>
      <x:c r="E30" s="38" t="n">
        <x:f>'Raw_Data'!E30</x:f>
        <x:v>2024</x:v>
      </x:c>
      <x:c r="F30" s="42" t="n">
        <x:f>'Raw_Data'!F30</x:f>
        <x:v>9434</x:v>
      </x:c>
      <x:c r="G30" s="42" t="n">
        <x:f>'Raw_Data'!G30</x:f>
        <x:v>2817</x:v>
      </x:c>
      <x:c r="H30" s="42" t="n">
        <x:f>'Raw_Data'!H30</x:f>
        <x:v>296</x:v>
      </x:c>
      <x:c r="I30" s="42" t="n">
        <x:f>'Raw_Data'!I30</x:f>
        <x:v>6544</x:v>
      </x:c>
      <x:c r="J30" s="44" t="n">
        <x:f>'Raw_Data'!J30</x:f>
        <x:v>0.2743</x:v>
      </x:c>
      <x:c r="K30" s="45" t="n">
        <x:f>IFERROR(G30/F30,"")</x:f>
        <x:v>0.2986008055967776</x:v>
      </x:c>
      <x:c r="L30" s="48" t="n">
        <x:f>IFERROR(G30/ABS(H30),"")</x:f>
        <x:v>9.516891891891891</x:v>
      </x:c>
      <x:c r="M30" s="48" t="n">
        <x:f>IFERROR(I30/F30,"")</x:f>
        <x:v>0.6936612253550986</x:v>
      </x:c>
      <x:c r="N30" s="48" t="n">
        <x:f>IF(G30&lt;=0,"",I30/G30)</x:f>
        <x:v>2.3230386936457226</x:v>
      </x:c>
      <x:c r="O30" s="50" t="n">
        <x:f>F30*J30</x:f>
        <x:v>2587.7462</x:v>
      </x:c>
      <x:c r="P30" s="45" t="n">
        <x:f>IFERROR(O30/I30,"")</x:f>
        <x:v>0.395437988997555</x:v>
      </x:c>
      <x:c r="Q30" s="45" t="n">
        <x:f>IFERROR(F30/F29-1,"")</x:f>
        <x:v>0.029800240148455392</x:v>
      </x:c>
      <x:c r="R30" s="45" t="n">
        <x:f>IFERROR(G30/G29-1,"")</x:f>
        <x:v>0.06907020872865277</x:v>
      </x:c>
      <x:c r="S30" s="45" t="n">
        <x:f>IFERROR(I30/I29-1,"")</x:f>
        <x:v>0.007234108049869237</x:v>
      </x:c>
      <x:c r="T30" s="45" t="n">
        <x:f>IFERROR(K30-K29,"")</x:f>
        <x:v>0.01096845105033073</x:v>
      </x:c>
      <x:c r="U30" s="73"/>
      <x:c r="V30" s="73"/>
      <x:c r="W30" s="73"/>
      <x:c r="X30" s="73"/>
      <x:c r="Y30" s="73"/>
      <x:c r="Z30" s="73"/>
      <x:c r="AA30" s="73"/>
    </x:row>
    <x:row r="31">
      <x:c r="A31" s="38" t="str">
        <x:f>'Raw_Data'!A31</x:f>
        <x:v>RELX</x:v>
      </x:c>
      <x:c r="B31" s="38" t="str">
        <x:f>'Raw_Data'!B31</x:f>
        <x:v>REL</x:v>
      </x:c>
      <x:c r="C31" s="38" t="str">
        <x:f>'Raw_Data'!C31</x:f>
        <x:v>Industrials &amp; Services</x:v>
      </x:c>
      <x:c r="D31" s="38" t="str">
        <x:f>'Raw_Data'!D31</x:f>
        <x:v>GBP</x:v>
      </x:c>
      <x:c r="E31" s="38" t="n">
        <x:f>'Raw_Data'!E31</x:f>
        <x:v>2025</x:v>
      </x:c>
      <x:c r="F31" s="42" t="n">
        <x:f>'Raw_Data'!F31</x:f>
        <x:v>9590</x:v>
      </x:c>
      <x:c r="G31" s="42" t="n">
        <x:f>'Raw_Data'!G31</x:f>
        <x:v>2986</x:v>
      </x:c>
      <x:c r="H31" s="42" t="n">
        <x:f>'Raw_Data'!H31</x:f>
        <x:v>283</x:v>
      </x:c>
      <x:c r="I31" s="42" t="n">
        <x:f>'Raw_Data'!I31</x:f>
        <x:v>7267</x:v>
      </x:c>
      <x:c r="J31" s="44" t="n">
        <x:f>'Raw_Data'!J31</x:f>
        <x:v>0.2935</x:v>
      </x:c>
      <x:c r="K31" s="45" t="n">
        <x:f>IFERROR(G31/F31,"")</x:f>
        <x:v>0.3113660062565172</x:v>
      </x:c>
      <x:c r="L31" s="48" t="n">
        <x:f>IFERROR(G31/ABS(H31),"")</x:f>
        <x:v>10.551236749116608</x:v>
      </x:c>
      <x:c r="M31" s="48" t="n">
        <x:f>IFERROR(I31/F31,"")</x:f>
        <x:v>0.7577685088633994</x:v>
      </x:c>
      <x:c r="N31" s="48" t="n">
        <x:f>IF(G31&lt;=0,"",I31/G31)</x:f>
        <x:v>2.4336905559276625</x:v>
      </x:c>
      <x:c r="O31" s="50" t="n">
        <x:f>F31*J31</x:f>
        <x:v>2814.665</x:v>
      </x:c>
      <x:c r="P31" s="45" t="n">
        <x:f>IFERROR(O31/I31,"")</x:f>
        <x:v>0.3873214531443512</x:v>
      </x:c>
      <x:c r="Q31" s="45" t="n">
        <x:f>IFERROR(F31/F30-1,"")</x:f>
        <x:v>0.016535933856264506</x:v>
      </x:c>
      <x:c r="R31" s="45" t="n">
        <x:f>IFERROR(G31/G30-1,"")</x:f>
        <x:v>0.059992900248491354</x:v>
      </x:c>
      <x:c r="S31" s="45" t="n">
        <x:f>IFERROR(I31/I30-1,"")</x:f>
        <x:v>0.11048288508557458</x:v>
      </x:c>
      <x:c r="T31" s="45" t="n">
        <x:f>IFERROR(K31-K30,"")</x:f>
        <x:v>0.012765200659739628</x:v>
      </x:c>
      <x:c r="U31" s="73"/>
      <x:c r="V31" s="73"/>
      <x:c r="W31" s="73"/>
      <x:c r="X31" s="73"/>
      <x:c r="Y31" s="73"/>
      <x:c r="Z31" s="73"/>
      <x:c r="AA31" s="73"/>
    </x:row>
    <x:row r="32">
      <x:c r="A32" s="38" t="str">
        <x:f>'Raw_Data'!A32</x:f>
        <x:v>Rentokil Initial</x:v>
      </x:c>
      <x:c r="B32" s="38" t="str">
        <x:f>'Raw_Data'!B32</x:f>
        <x:v>RTO</x:v>
      </x:c>
      <x:c r="C32" s="38" t="str">
        <x:f>'Raw_Data'!C32</x:f>
        <x:v>Industrials &amp; Services</x:v>
      </x:c>
      <x:c r="D32" s="38" t="str">
        <x:f>'Raw_Data'!D32</x:f>
        <x:v>USD</x:v>
      </x:c>
      <x:c r="E32" s="38" t="n">
        <x:f>'Raw_Data'!E32</x:f>
        <x:v>2022</x:v>
      </x:c>
      <x:c r="F32" s="42" t="n">
        <x:f>'Raw_Data'!F32</x:f>
        <x:v>4475</x:v>
      </x:c>
      <x:c r="G32" s="42" t="n">
        <x:f>'Raw_Data'!G32</x:f>
        <x:v>590.4</x:v>
      </x:c>
      <x:c r="H32" s="42" t="n">
        <x:f>'Raw_Data'!H32</x:f>
        <x:v>89.16</x:v>
      </x:c>
      <x:c r="I32" s="42" t="n">
        <x:f>'Raw_Data'!I32</x:f>
        <x:v>6592</x:v>
      </x:c>
      <x:c r="J32" s="44" t="n">
        <x:f>'Raw_Data'!J32</x:f>
        <x:v>0.1204</x:v>
      </x:c>
      <x:c r="K32" s="45" t="n">
        <x:f>IFERROR(G32/F32,"")</x:f>
        <x:v>0.13193296089385476</x:v>
      </x:c>
      <x:c r="L32" s="48" t="n">
        <x:f>IFERROR(G32/ABS(H32),"")</x:f>
        <x:v>6.6218034993270525</x:v>
      </x:c>
      <x:c r="M32" s="48" t="n">
        <x:f>IFERROR(I32/F32,"")</x:f>
        <x:v>1.473072625698324</x:v>
      </x:c>
      <x:c r="N32" s="48" t="n">
        <x:f>IF(G32&lt;=0,"",I32/G32)</x:f>
        <x:v>11.165311653116532</x:v>
      </x:c>
      <x:c r="O32" s="50" t="n">
        <x:f>F32*J32</x:f>
        <x:v>538.79</x:v>
      </x:c>
      <x:c r="P32" s="45" t="n">
        <x:f>IFERROR(O32/I32,"")</x:f>
        <x:v>0.08173391990291262</x:v>
      </x:c>
      <x:c r="Q32" s="45" t="str"/>
      <x:c r="R32" s="45" t="str"/>
      <x:c r="S32" s="45" t="str"/>
      <x:c r="T32" s="45" t="str"/>
      <x:c r="U32" s="73"/>
      <x:c r="V32" s="73"/>
      <x:c r="W32" s="73"/>
      <x:c r="X32" s="73"/>
      <x:c r="Y32" s="73"/>
      <x:c r="Z32" s="73"/>
      <x:c r="AA32" s="73"/>
    </x:row>
    <x:row r="33">
      <x:c r="A33" s="38" t="str">
        <x:f>'Raw_Data'!A33</x:f>
        <x:v>Rentokil Initial</x:v>
      </x:c>
      <x:c r="B33" s="38" t="str">
        <x:f>'Raw_Data'!B33</x:f>
        <x:v>RTO</x:v>
      </x:c>
      <x:c r="C33" s="38" t="str">
        <x:f>'Raw_Data'!C33</x:f>
        <x:v>Industrials &amp; Services</x:v>
      </x:c>
      <x:c r="D33" s="38" t="str">
        <x:f>'Raw_Data'!D33</x:f>
        <x:v>USD</x:v>
      </x:c>
      <x:c r="E33" s="38" t="n">
        <x:f>'Raw_Data'!E33</x:f>
        <x:v>2023</x:v>
      </x:c>
      <x:c r="F33" s="42" t="n">
        <x:f>'Raw_Data'!F33</x:f>
        <x:v>6385</x:v>
      </x:c>
      <x:c r="G33" s="42" t="n">
        <x:f>'Raw_Data'!G33</x:f>
        <x:v>855</x:v>
      </x:c>
      <x:c r="H33" s="42" t="n">
        <x:f>'Raw_Data'!H33</x:f>
        <x:v>214</x:v>
      </x:c>
      <x:c r="I33" s="42" t="n">
        <x:f>'Raw_Data'!I33</x:f>
        <x:v>6088</x:v>
      </x:c>
      <x:c r="J33" s="44" t="n">
        <x:f>'Raw_Data'!J33</x:f>
        <x:v>0.111</x:v>
      </x:c>
      <x:c r="K33" s="45" t="n">
        <x:f>IFERROR(G33/F33,"")</x:f>
        <x:v>0.13390759592795615</x:v>
      </x:c>
      <x:c r="L33" s="48" t="n">
        <x:f>IFERROR(G33/ABS(H33),"")</x:f>
        <x:v>3.9953271028037385</x:v>
      </x:c>
      <x:c r="M33" s="48" t="n">
        <x:f>IFERROR(I33/F33,"")</x:f>
        <x:v>0.9534847298355521</x:v>
      </x:c>
      <x:c r="N33" s="48" t="n">
        <x:f>IF(G33&lt;=0,"",I33/G33)</x:f>
        <x:v>7.12046783625731</x:v>
      </x:c>
      <x:c r="O33" s="50" t="n">
        <x:f>F33*J33</x:f>
        <x:v>708.735</x:v>
      </x:c>
      <x:c r="P33" s="45" t="n">
        <x:f>IFERROR(O33/I33,"")</x:f>
        <x:v>0.11641507884362681</x:v>
      </x:c>
      <x:c r="Q33" s="45" t="n">
        <x:f>IFERROR(F33/F32-1,"")</x:f>
        <x:v>0.42681564245810066</x:v>
      </x:c>
      <x:c r="R33" s="45" t="n">
        <x:f>IFERROR(G33/G32-1,"")</x:f>
        <x:v>0.44817073170731714</x:v>
      </x:c>
      <x:c r="S33" s="45" t="n">
        <x:f>IFERROR(I33/I32-1,"")</x:f>
        <x:v>-0.07645631067961167</x:v>
      </x:c>
      <x:c r="T33" s="45" t="n">
        <x:f>IFERROR(K33-K32,"")</x:f>
        <x:v>0.0019746350341013907</x:v>
      </x:c>
      <x:c r="U33" s="73"/>
      <x:c r="V33" s="73"/>
      <x:c r="W33" s="73"/>
      <x:c r="X33" s="73"/>
      <x:c r="Y33" s="73"/>
      <x:c r="Z33" s="73"/>
      <x:c r="AA33" s="73"/>
    </x:row>
    <x:row r="34">
      <x:c r="A34" s="38" t="str">
        <x:f>'Raw_Data'!A34</x:f>
        <x:v>Rentokil Initial</x:v>
      </x:c>
      <x:c r="B34" s="38" t="str">
        <x:f>'Raw_Data'!B34</x:f>
        <x:v>RTO</x:v>
      </x:c>
      <x:c r="C34" s="38" t="str">
        <x:f>'Raw_Data'!C34</x:f>
        <x:v>Industrials &amp; Services</x:v>
      </x:c>
      <x:c r="D34" s="38" t="str">
        <x:f>'Raw_Data'!D34</x:f>
        <x:v>USD</x:v>
      </x:c>
      <x:c r="E34" s="38" t="n">
        <x:f>'Raw_Data'!E34</x:f>
        <x:v>2024</x:v>
      </x:c>
      <x:c r="F34" s="42" t="n">
        <x:f>'Raw_Data'!F34</x:f>
        <x:v>6617</x:v>
      </x:c>
      <x:c r="G34" s="42" t="n">
        <x:f>'Raw_Data'!G34</x:f>
        <x:v>763</x:v>
      </x:c>
      <x:c r="H34" s="42" t="n">
        <x:f>'Raw_Data'!H34</x:f>
        <x:v>229</x:v>
      </x:c>
      <x:c r="I34" s="42" t="n">
        <x:f>'Raw_Data'!I34</x:f>
        <x:v>5184</x:v>
      </x:c>
      <x:c r="J34" s="44" t="n">
        <x:f>'Raw_Data'!J34</x:f>
        <x:v>0.0981</x:v>
      </x:c>
      <x:c r="K34" s="45" t="n">
        <x:f>IFERROR(G34/F34,"")</x:f>
        <x:v>0.11530905244068308</x:v>
      </x:c>
      <x:c r="L34" s="48" t="n">
        <x:f>IFERROR(G34/ABS(H34),"")</x:f>
        <x:v>3.331877729257642</x:v>
      </x:c>
      <x:c r="M34" s="48" t="n">
        <x:f>IFERROR(I34/F34,"")</x:f>
        <x:v>0.7834366026900408</x:v>
      </x:c>
      <x:c r="N34" s="48" t="n">
        <x:f>IF(G34&lt;=0,"",I34/G34)</x:f>
        <x:v>6.794233289646134</x:v>
      </x:c>
      <x:c r="O34" s="50" t="n">
        <x:f>F34*J34</x:f>
        <x:v>649.1277</x:v>
      </x:c>
      <x:c r="P34" s="45" t="n">
        <x:f>IFERROR(O34/I34,"")</x:f>
        <x:v>0.12521753472222222</x:v>
      </x:c>
      <x:c r="Q34" s="45" t="n">
        <x:f>IFERROR(F34/F33-1,"")</x:f>
        <x:v>0.03633516053249797</x:v>
      </x:c>
      <x:c r="R34" s="45" t="n">
        <x:f>IFERROR(G34/G33-1,"")</x:f>
        <x:v>-0.10760233918128659</x:v>
      </x:c>
      <x:c r="S34" s="45" t="n">
        <x:f>IFERROR(I34/I33-1,"")</x:f>
        <x:v>-0.14848883048620232</x:v>
      </x:c>
      <x:c r="T34" s="45" t="n">
        <x:f>IFERROR(K34-K33,"")</x:f>
        <x:v>-0.018598543487273064</x:v>
      </x:c>
      <x:c r="U34" s="73"/>
      <x:c r="V34" s="73"/>
      <x:c r="W34" s="73"/>
      <x:c r="X34" s="73"/>
      <x:c r="Y34" s="73"/>
      <x:c r="Z34" s="73"/>
      <x:c r="AA34" s="73"/>
    </x:row>
    <x:row r="35">
      <x:c r="A35" s="38" t="str">
        <x:f>'Raw_Data'!A35</x:f>
        <x:v>Rentokil Initial</x:v>
      </x:c>
      <x:c r="B35" s="38" t="str">
        <x:f>'Raw_Data'!B35</x:f>
        <x:v>RTO</x:v>
      </x:c>
      <x:c r="C35" s="38" t="str">
        <x:f>'Raw_Data'!C35</x:f>
        <x:v>Industrials &amp; Services</x:v>
      </x:c>
      <x:c r="D35" s="38" t="str">
        <x:f>'Raw_Data'!D35</x:f>
        <x:v>USD</x:v>
      </x:c>
      <x:c r="E35" s="38" t="n">
        <x:f>'Raw_Data'!E35</x:f>
        <x:v>2025</x:v>
      </x:c>
      <x:c r="F35" s="42" t="n">
        <x:f>'Raw_Data'!F35</x:f>
        <x:v>6908</x:v>
      </x:c>
      <x:c r="G35" s="42" t="n">
        <x:f>'Raw_Data'!G35</x:f>
        <x:v>877</x:v>
      </x:c>
      <x:c r="H35" s="42" t="n">
        <x:f>'Raw_Data'!H35</x:f>
        <x:v>237</x:v>
      </x:c>
      <x:c r="I35" s="42" t="n">
        <x:f>'Raw_Data'!I35</x:f>
        <x:v>6153</x:v>
      </x:c>
      <x:c r="J35" s="44" t="n">
        <x:f>'Raw_Data'!J35</x:f>
        <x:v>0.1106</x:v>
      </x:c>
      <x:c r="K35" s="45" t="n">
        <x:f>IFERROR(G35/F35,"")</x:f>
        <x:v>0.12695425593514764</x:v>
      </x:c>
      <x:c r="L35" s="48" t="n">
        <x:f>IFERROR(G35/ABS(H35),"")</x:f>
        <x:v>3.70042194092827</x:v>
      </x:c>
      <x:c r="M35" s="48" t="n">
        <x:f>IFERROR(I35/F35,"")</x:f>
        <x:v>0.8907064273306311</x:v>
      </x:c>
      <x:c r="N35" s="48" t="n">
        <x:f>IF(G35&lt;=0,"",I35/G35)</x:f>
        <x:v>7.015963511972634</x:v>
      </x:c>
      <x:c r="O35" s="50" t="n">
        <x:f>F35*J35</x:f>
        <x:v>764.0248</x:v>
      </x:c>
      <x:c r="P35" s="45" t="n">
        <x:f>IFERROR(O35/I35,"")</x:f>
        <x:v>0.12417110352673492</x:v>
      </x:c>
      <x:c r="Q35" s="45" t="n">
        <x:f>IFERROR(F35/F34-1,"")</x:f>
        <x:v>0.04397763336859595</x:v>
      </x:c>
      <x:c r="R35" s="45" t="n">
        <x:f>IFERROR(G35/G34-1,"")</x:f>
        <x:v>0.14941022280471827</x:v>
      </x:c>
      <x:c r="S35" s="45" t="n">
        <x:f>IFERROR(I35/I34-1,"")</x:f>
        <x:v>0.18692129629629628</x:v>
      </x:c>
      <x:c r="T35" s="45" t="n">
        <x:f>IFERROR(K35-K34,"")</x:f>
        <x:v>0.01164520349446456</x:v>
      </x:c>
      <x:c r="U35" s="73"/>
      <x:c r="V35" s="73"/>
      <x:c r="W35" s="73"/>
      <x:c r="X35" s="73"/>
      <x:c r="Y35" s="73"/>
      <x:c r="Z35" s="73"/>
      <x:c r="AA35" s="73"/>
    </x:row>
    <x:row r="36">
      <x:c r="A36" s="38" t="str">
        <x:f>'Raw_Data'!A36</x:f>
        <x:v>Rolls-Royce</x:v>
      </x:c>
      <x:c r="B36" s="38" t="str">
        <x:f>'Raw_Data'!B36</x:f>
        <x:v>RR</x:v>
      </x:c>
      <x:c r="C36" s="38" t="str">
        <x:f>'Raw_Data'!C36</x:f>
        <x:v>Industrials &amp; Services</x:v>
      </x:c>
      <x:c r="D36" s="38" t="str">
        <x:f>'Raw_Data'!D36</x:f>
        <x:v>GBP</x:v>
      </x:c>
      <x:c r="E36" s="38" t="n">
        <x:f>'Raw_Data'!E36</x:f>
        <x:v>2022</x:v>
      </x:c>
      <x:c r="F36" s="42" t="n">
        <x:f>'Raw_Data'!F36</x:f>
        <x:v>13520</x:v>
      </x:c>
      <x:c r="G36" s="42" t="n">
        <x:f>'Raw_Data'!G36</x:f>
        <x:v>837</x:v>
      </x:c>
      <x:c r="H36" s="42" t="n">
        <x:f>'Raw_Data'!H36</x:f>
        <x:v>2775</x:v>
      </x:c>
      <x:c r="I36" s="42" t="n">
        <x:f>'Raw_Data'!I36</x:f>
        <x:v>10201</x:v>
      </x:c>
      <x:c r="J36" s="44" t="n">
        <x:f>'Raw_Data'!J36</x:f>
        <x:v>0.0862</x:v>
      </x:c>
      <x:c r="K36" s="45" t="n">
        <x:f>IFERROR(G36/F36,"")</x:f>
        <x:v>0.06190828402366864</x:v>
      </x:c>
      <x:c r="L36" s="48" t="n">
        <x:f>IFERROR(G36/ABS(H36),"")</x:f>
        <x:v>0.3016216216216216</x:v>
      </x:c>
      <x:c r="M36" s="48" t="n">
        <x:f>IFERROR(I36/F36,"")</x:f>
        <x:v>0.7545118343195266</x:v>
      </x:c>
      <x:c r="N36" s="48" t="n">
        <x:f>IF(G36&lt;=0,"",I36/G36)</x:f>
        <x:v>12.187574671445638</x:v>
      </x:c>
      <x:c r="O36" s="50" t="n">
        <x:f>F36*J36</x:f>
        <x:v>1165.424</x:v>
      </x:c>
      <x:c r="P36" s="45" t="n">
        <x:f>IFERROR(O36/I36,"")</x:f>
        <x:v>0.11424605430840114</x:v>
      </x:c>
      <x:c r="Q36" s="45" t="str"/>
      <x:c r="R36" s="45" t="str"/>
      <x:c r="S36" s="45" t="str"/>
      <x:c r="T36" s="45" t="str"/>
      <x:c r="U36" s="73"/>
      <x:c r="V36" s="73"/>
      <x:c r="W36" s="73"/>
      <x:c r="X36" s="73"/>
      <x:c r="Y36" s="73"/>
      <x:c r="Z36" s="73"/>
      <x:c r="AA36" s="73"/>
    </x:row>
    <x:row r="37">
      <x:c r="A37" s="38" t="str">
        <x:f>'Raw_Data'!A37</x:f>
        <x:v>Rolls-Royce</x:v>
      </x:c>
      <x:c r="B37" s="38" t="str">
        <x:f>'Raw_Data'!B37</x:f>
        <x:v>RR</x:v>
      </x:c>
      <x:c r="C37" s="38" t="str">
        <x:f>'Raw_Data'!C37</x:f>
        <x:v>Industrials &amp; Services</x:v>
      </x:c>
      <x:c r="D37" s="38" t="str">
        <x:f>'Raw_Data'!D37</x:f>
        <x:v>GBP</x:v>
      </x:c>
      <x:c r="E37" s="38" t="n">
        <x:f>'Raw_Data'!E37</x:f>
        <x:v>2023</x:v>
      </x:c>
      <x:c r="F37" s="42" t="n">
        <x:f>'Raw_Data'!F37</x:f>
        <x:v>16486</x:v>
      </x:c>
      <x:c r="G37" s="42" t="n">
        <x:f>'Raw_Data'!G37</x:f>
        <x:v>1944</x:v>
      </x:c>
      <x:c r="H37" s="42" t="n">
        <x:f>'Raw_Data'!H37</x:f>
        <x:v>681</x:v>
      </x:c>
      <x:c r="I37" s="42" t="n">
        <x:f>'Raw_Data'!I37</x:f>
        <x:v>8190</x:v>
      </x:c>
      <x:c r="J37" s="44" t="n">
        <x:f>'Raw_Data'!J37</x:f>
        <x:v>0.1247</x:v>
      </x:c>
      <x:c r="K37" s="45" t="n">
        <x:f>IFERROR(G37/F37,"")</x:f>
        <x:v>0.11791823365279631</x:v>
      </x:c>
      <x:c r="L37" s="48" t="n">
        <x:f>IFERROR(G37/ABS(H37),"")</x:f>
        <x:v>2.854625550660793</x:v>
      </x:c>
      <x:c r="M37" s="48" t="n">
        <x:f>IFERROR(I37/F37,"")</x:f>
        <x:v>0.49678515103724374</x:v>
      </x:c>
      <x:c r="N37" s="48" t="n">
        <x:f>IF(G37&lt;=0,"",I37/G37)</x:f>
        <x:v>4.212962962962963</x:v>
      </x:c>
      <x:c r="O37" s="50" t="n">
        <x:f>F37*J37</x:f>
        <x:v>2055.8042</x:v>
      </x:c>
      <x:c r="P37" s="45" t="n">
        <x:f>IFERROR(O37/I37,"")</x:f>
        <x:v>0.2510139438339438</x:v>
      </x:c>
      <x:c r="Q37" s="45" t="n">
        <x:f>IFERROR(F37/F36-1,"")</x:f>
        <x:v>0.219378698224852</x:v>
      </x:c>
      <x:c r="R37" s="45" t="n">
        <x:f>IFERROR(G37/G36-1,"")</x:f>
        <x:v>1.3225806451612905</x:v>
      </x:c>
      <x:c r="S37" s="45" t="n">
        <x:f>IFERROR(I37/I36-1,"")</x:f>
        <x:v>-0.19713753553573177</x:v>
      </x:c>
      <x:c r="T37" s="45" t="n">
        <x:f>IFERROR(K37-K36,"")</x:f>
        <x:v>0.05600994962912768</x:v>
      </x:c>
      <x:c r="U37" s="73"/>
      <x:c r="V37" s="73"/>
      <x:c r="W37" s="73"/>
      <x:c r="X37" s="73"/>
      <x:c r="Y37" s="73"/>
      <x:c r="Z37" s="73"/>
      <x:c r="AA37" s="73"/>
    </x:row>
    <x:row r="38">
      <x:c r="A38" s="38" t="str">
        <x:f>'Raw_Data'!A38</x:f>
        <x:v>Rolls-Royce</x:v>
      </x:c>
      <x:c r="B38" s="38" t="str">
        <x:f>'Raw_Data'!B38</x:f>
        <x:v>RR</x:v>
      </x:c>
      <x:c r="C38" s="38" t="str">
        <x:f>'Raw_Data'!C38</x:f>
        <x:v>Industrials &amp; Services</x:v>
      </x:c>
      <x:c r="D38" s="38" t="str">
        <x:f>'Raw_Data'!D38</x:f>
        <x:v>GBP</x:v>
      </x:c>
      <x:c r="E38" s="38" t="n">
        <x:f>'Raw_Data'!E38</x:f>
        <x:v>2024</x:v>
      </x:c>
      <x:c r="F38" s="42" t="n">
        <x:f>'Raw_Data'!F38</x:f>
        <x:v>18909</x:v>
      </x:c>
      <x:c r="G38" s="42" t="n">
        <x:f>'Raw_Data'!G38</x:f>
        <x:v>2906</x:v>
      </x:c>
      <x:c r="H38" s="42" t="n">
        <x:f>'Raw_Data'!H38</x:f>
        <x:v>1224</x:v>
      </x:c>
      <x:c r="I38" s="42" t="n">
        <x:f>'Raw_Data'!I38</x:f>
        <x:v>7414</x:v>
      </x:c>
      <x:c r="J38" s="44" t="n">
        <x:f>'Raw_Data'!J38</x:f>
        <x:v>0.1726</x:v>
      </x:c>
      <x:c r="K38" s="45" t="n">
        <x:f>IFERROR(G38/F38,"")</x:f>
        <x:v>0.15368343117034217</x:v>
      </x:c>
      <x:c r="L38" s="48" t="n">
        <x:f>IFERROR(G38/ABS(H38),"")</x:f>
        <x:v>2.3741830065359477</x:v>
      </x:c>
      <x:c r="M38" s="48" t="n">
        <x:f>IFERROR(I38/F38,"")</x:f>
        <x:v>0.39208842350203604</x:v>
      </x:c>
      <x:c r="N38" s="48" t="n">
        <x:f>IF(G38&lt;=0,"",I38/G38)</x:f>
        <x:v>2.5512732278045425</x:v>
      </x:c>
      <x:c r="O38" s="50" t="n">
        <x:f>F38*J38</x:f>
        <x:v>3263.6934</x:v>
      </x:c>
      <x:c r="P38" s="45" t="n">
        <x:f>IFERROR(O38/I38,"")</x:f>
        <x:v>0.44020682492581603</x:v>
      </x:c>
      <x:c r="Q38" s="45" t="n">
        <x:f>IFERROR(F38/F37-1,"")</x:f>
        <x:v>0.14697318937280124</x:v>
      </x:c>
      <x:c r="R38" s="45" t="n">
        <x:f>IFERROR(G38/G37-1,"")</x:f>
        <x:v>0.49485596707818935</x:v>
      </x:c>
      <x:c r="S38" s="45" t="n">
        <x:f>IFERROR(I38/I37-1,"")</x:f>
        <x:v>-0.09474969474969475</x:v>
      </x:c>
      <x:c r="T38" s="45" t="n">
        <x:f>IFERROR(K38-K37,"")</x:f>
        <x:v>0.03576519751754585</x:v>
      </x:c>
      <x:c r="U38" s="73"/>
      <x:c r="V38" s="73"/>
      <x:c r="W38" s="73"/>
      <x:c r="X38" s="73"/>
      <x:c r="Y38" s="73"/>
      <x:c r="Z38" s="73"/>
      <x:c r="AA38" s="73"/>
    </x:row>
    <x:row r="39">
      <x:c r="A39" s="38" t="str">
        <x:f>'Raw_Data'!A39</x:f>
        <x:v>Rolls-Royce</x:v>
      </x:c>
      <x:c r="B39" s="38" t="str">
        <x:f>'Raw_Data'!B39</x:f>
        <x:v>RR</x:v>
      </x:c>
      <x:c r="C39" s="38" t="str">
        <x:f>'Raw_Data'!C39</x:f>
        <x:v>Industrials &amp; Services</x:v>
      </x:c>
      <x:c r="D39" s="38" t="str">
        <x:f>'Raw_Data'!D39</x:f>
        <x:v>GBP</x:v>
      </x:c>
      <x:c r="E39" s="38" t="n">
        <x:f>'Raw_Data'!E39</x:f>
        <x:v>2025</x:v>
      </x:c>
      <x:c r="F39" s="42" t="n">
        <x:f>'Raw_Data'!F39</x:f>
        <x:v>21207</x:v>
      </x:c>
      <x:c r="G39" s="42" t="n">
        <x:f>'Raw_Data'!G39</x:f>
        <x:v>4468</x:v>
      </x:c>
      <x:c r="H39" s="42" t="n">
        <x:f>'Raw_Data'!H39</x:f>
        <x:v>479</x:v>
      </x:c>
      <x:c r="I39" s="42" t="n">
        <x:f>'Raw_Data'!I39</x:f>
        <x:v>5192</x:v>
      </x:c>
      <x:c r="J39" s="44" t="n">
        <x:f>'Raw_Data'!J39</x:f>
        <x:v>0.186</x:v>
      </x:c>
      <x:c r="K39" s="45" t="n">
        <x:f>IFERROR(G39/F39,"")</x:f>
        <x:v>0.21068515112934408</x:v>
      </x:c>
      <x:c r="L39" s="48" t="n">
        <x:f>IFERROR(G39/ABS(H39),"")</x:f>
        <x:v>9.32776617954071</x:v>
      </x:c>
      <x:c r="M39" s="48" t="n">
        <x:f>IFERROR(I39/F39,"")</x:f>
        <x:v>0.24482482199273825</x:v>
      </x:c>
      <x:c r="N39" s="48" t="n">
        <x:f>IF(G39&lt;=0,"",I39/G39)</x:f>
        <x:v>1.162041181736795</x:v>
      </x:c>
      <x:c r="O39" s="50" t="n">
        <x:f>F39*J39</x:f>
        <x:v>3944.502</x:v>
      </x:c>
      <x:c r="P39" s="45" t="n">
        <x:f>IFERROR(O39/I39,"")</x:f>
        <x:v>0.7597268875192604</x:v>
      </x:c>
      <x:c r="Q39" s="45" t="n">
        <x:f>IFERROR(F39/F38-1,"")</x:f>
        <x:v>0.1215294304299539</x:v>
      </x:c>
      <x:c r="R39" s="45" t="n">
        <x:f>IFERROR(G39/G38-1,"")</x:f>
        <x:v>0.5375086028905713</x:v>
      </x:c>
      <x:c r="S39" s="45" t="n">
        <x:f>IFERROR(I39/I38-1,"")</x:f>
        <x:v>-0.2997032640949555</x:v>
      </x:c>
      <x:c r="T39" s="45" t="n">
        <x:f>IFERROR(K39-K38,"")</x:f>
        <x:v>0.05700171995900191</x:v>
      </x:c>
      <x:c r="U39" s="73"/>
      <x:c r="V39" s="73"/>
      <x:c r="W39" s="73"/>
      <x:c r="X39" s="73"/>
      <x:c r="Y39" s="73"/>
      <x:c r="Z39" s="73"/>
      <x:c r="AA39" s="73"/>
    </x:row>
    <x:row r="40">
      <x:c r="A40" s="38" t="str">
        <x:f>'Raw_Data'!A40</x:f>
        <x:v>SSE</x:v>
      </x:c>
      <x:c r="B40" s="38" t="str">
        <x:f>'Raw_Data'!B40</x:f>
        <x:v>SSE</x:v>
      </x:c>
      <x:c r="C40" s="38" t="str">
        <x:f>'Raw_Data'!C40</x:f>
        <x:v>Utilities</x:v>
      </x:c>
      <x:c r="D40" s="38" t="str">
        <x:f>'Raw_Data'!D40</x:f>
        <x:v>GBP</x:v>
      </x:c>
      <x:c r="E40" s="38" t="n">
        <x:f>'Raw_Data'!E40</x:f>
        <x:v>2023</x:v>
      </x:c>
      <x:c r="F40" s="42" t="n">
        <x:f>'Raw_Data'!F40</x:f>
        <x:v>12491</x:v>
      </x:c>
      <x:c r="G40" s="42" t="n">
        <x:f>'Raw_Data'!G40</x:f>
        <x:v>-146.3</x:v>
      </x:c>
      <x:c r="H40" s="42" t="n">
        <x:f>'Raw_Data'!H40</x:f>
        <x:v>396.7</x:v>
      </x:c>
      <x:c r="I40" s="42" t="n">
        <x:f>'Raw_Data'!I40</x:f>
        <x:v>9060</x:v>
      </x:c>
      <x:c r="J40" s="44" t="n">
        <x:f>'Raw_Data'!J40</x:f>
        <x:v>0.0011</x:v>
      </x:c>
      <x:c r="K40" s="45" t="n">
        <x:f>IFERROR(G40/F40,"")</x:f>
        <x:v>-0.011712432951725244</x:v>
      </x:c>
      <x:c r="L40" s="48" t="n">
        <x:f>IFERROR(G40/ABS(H40),"")</x:f>
        <x:v>-0.36879253844214777</x:v>
      </x:c>
      <x:c r="M40" s="48" t="n">
        <x:f>IFERROR(I40/F40,"")</x:f>
        <x:v>0.725322232007045</x:v>
      </x:c>
      <x:c r="N40" s="48" t="str">
        <x:f>IF(G40&lt;=0,"",I40/G40)</x:f>
      </x:c>
      <x:c r="O40" s="50" t="n">
        <x:f>F40*J40</x:f>
        <x:v>13.7401</x:v>
      </x:c>
      <x:c r="P40" s="45" t="n">
        <x:f>IFERROR(O40/I40,"")</x:f>
        <x:v>0.0015165673289183224</x:v>
      </x:c>
      <x:c r="Q40" s="45" t="str"/>
      <x:c r="R40" s="45" t="str"/>
      <x:c r="S40" s="45" t="str"/>
      <x:c r="T40" s="45" t="str"/>
      <x:c r="U40" s="73"/>
      <x:c r="V40" s="73"/>
      <x:c r="W40" s="73"/>
      <x:c r="X40" s="73"/>
      <x:c r="Y40" s="73"/>
      <x:c r="Z40" s="73"/>
      <x:c r="AA40" s="73"/>
    </x:row>
    <x:row r="41">
      <x:c r="A41" s="38" t="str">
        <x:f>'Raw_Data'!A41</x:f>
        <x:v>SSE</x:v>
      </x:c>
      <x:c r="B41" s="38" t="str">
        <x:f>'Raw_Data'!B41</x:f>
        <x:v>SSE</x:v>
      </x:c>
      <x:c r="C41" s="38" t="str">
        <x:f>'Raw_Data'!C41</x:f>
        <x:v>Utilities</x:v>
      </x:c>
      <x:c r="D41" s="38" t="str">
        <x:f>'Raw_Data'!D41</x:f>
        <x:v>GBP</x:v>
      </x:c>
      <x:c r="E41" s="38" t="n">
        <x:f>'Raw_Data'!E41</x:f>
        <x:v>2024</x:v>
      </x:c>
      <x:c r="F41" s="42" t="n">
        <x:f>'Raw_Data'!F41</x:f>
        <x:v>10457</x:v>
      </x:c>
      <x:c r="G41" s="42" t="n">
        <x:f>'Raw_Data'!G41</x:f>
        <x:v>2608</x:v>
      </x:c>
      <x:c r="H41" s="42" t="n">
        <x:f>'Raw_Data'!H41</x:f>
        <x:v>318.3</x:v>
      </x:c>
      <x:c r="I41" s="42" t="n">
        <x:f>'Raw_Data'!I41</x:f>
        <x:v>9134</x:v>
      </x:c>
      <x:c r="J41" s="44" t="n">
        <x:f>'Raw_Data'!J41</x:f>
        <x:v>0.1807</x:v>
      </x:c>
      <x:c r="K41" s="45" t="n">
        <x:f>IFERROR(G41/F41,"")</x:f>
        <x:v>0.24940231423926557</x:v>
      </x:c>
      <x:c r="L41" s="48" t="n">
        <x:f>IFERROR(G41/ABS(H41),"")</x:f>
        <x:v>8.193528118127553</x:v>
      </x:c>
      <x:c r="M41" s="48" t="n">
        <x:f>IFERROR(I41/F41,"")</x:f>
        <x:v>0.8734818781677345</x:v>
      </x:c>
      <x:c r="N41" s="48" t="n">
        <x:f>IF(G41&lt;=0,"",I41/G41)</x:f>
        <x:v>3.5023006134969323</x:v>
      </x:c>
      <x:c r="O41" s="50" t="n">
        <x:f>F41*J41</x:f>
        <x:v>1889.5799</x:v>
      </x:c>
      <x:c r="P41" s="45" t="n">
        <x:f>IFERROR(O41/I41,"")</x:f>
        <x:v>0.20687320998467265</x:v>
      </x:c>
      <x:c r="Q41" s="45" t="n">
        <x:f>IFERROR(F41/F40-1,"")</x:f>
        <x:v>-0.1628372428148267</x:v>
      </x:c>
      <x:c r="R41" s="45" t="n">
        <x:f>IFERROR(G41/G40-1,"")</x:f>
        <x:v>-18.826384142173616</x:v>
      </x:c>
      <x:c r="S41" s="45" t="n">
        <x:f>IFERROR(I41/I40-1,"")</x:f>
        <x:v>0.008167770419426068</x:v>
      </x:c>
      <x:c r="T41" s="45" t="n">
        <x:f>IFERROR(K41-K40,"")</x:f>
        <x:v>0.2611147471909908</x:v>
      </x:c>
      <x:c r="U41" s="73"/>
      <x:c r="V41" s="73"/>
      <x:c r="W41" s="73"/>
      <x:c r="X41" s="73"/>
      <x:c r="Y41" s="73"/>
      <x:c r="Z41" s="73"/>
      <x:c r="AA41" s="73"/>
    </x:row>
    <x:row r="42">
      <x:c r="A42" s="38" t="str">
        <x:f>'Raw_Data'!A42</x:f>
        <x:v>SSE</x:v>
      </x:c>
      <x:c r="B42" s="38" t="str">
        <x:f>'Raw_Data'!B42</x:f>
        <x:v>SSE</x:v>
      </x:c>
      <x:c r="C42" s="38" t="str">
        <x:f>'Raw_Data'!C42</x:f>
        <x:v>Utilities</x:v>
      </x:c>
      <x:c r="D42" s="38" t="str">
        <x:f>'Raw_Data'!D42</x:f>
        <x:v>GBP</x:v>
      </x:c>
      <x:c r="E42" s="38" t="n">
        <x:f>'Raw_Data'!E42</x:f>
        <x:v>2025</x:v>
      </x:c>
      <x:c r="F42" s="42" t="n">
        <x:f>'Raw_Data'!F42</x:f>
        <x:v>10132</x:v>
      </x:c>
      <x:c r="G42" s="42" t="n">
        <x:f>'Raw_Data'!G42</x:f>
        <x:v>1962</x:v>
      </x:c>
      <x:c r="H42" s="42" t="n">
        <x:f>'Raw_Data'!H42</x:f>
        <x:v>319.2</x:v>
      </x:c>
      <x:c r="I42" s="42" t="n">
        <x:f>'Raw_Data'!I42</x:f>
        <x:v>10604</x:v>
      </x:c>
      <x:c r="J42" s="44" t="n">
        <x:f>'Raw_Data'!J42</x:f>
        <x:v>-0.021</x:v>
      </x:c>
      <x:c r="K42" s="45" t="n">
        <x:f>IFERROR(G42/F42,"")</x:f>
        <x:v>0.19364390051322541</x:v>
      </x:c>
      <x:c r="L42" s="48" t="n">
        <x:f>IFERROR(G42/ABS(H42),"")</x:f>
        <x:v>6.146616541353383</x:v>
      </x:c>
      <x:c r="M42" s="48" t="n">
        <x:f>IFERROR(I42/F42,"")</x:f>
        <x:v>1.0465850769838136</x:v>
      </x:c>
      <x:c r="N42" s="48" t="n">
        <x:f>IF(G42&lt;=0,"",I42/G42)</x:f>
        <x:v>5.404689092762487</x:v>
      </x:c>
      <x:c r="O42" s="50" t="n">
        <x:f>F42*J42</x:f>
        <x:v>-212.77200000000002</x:v>
      </x:c>
      <x:c r="P42" s="45" t="n">
        <x:f>IFERROR(O42/I42,"")</x:f>
        <x:v>-0.020065258393059223</x:v>
      </x:c>
      <x:c r="Q42" s="45" t="n">
        <x:f>IFERROR(F42/F41-1,"")</x:f>
        <x:v>-0.031079659558190698</x:v>
      </x:c>
      <x:c r="R42" s="45" t="n">
        <x:f>IFERROR(G42/G41-1,"")</x:f>
        <x:v>-0.24769938650306744</x:v>
      </x:c>
      <x:c r="S42" s="45" t="n">
        <x:f>IFERROR(I42/I41-1,"")</x:f>
        <x:v>0.16093715787168827</x:v>
      </x:c>
      <x:c r="T42" s="45" t="n">
        <x:f>IFERROR(K42-K41,"")</x:f>
        <x:v>-0.05575841372604015</x:v>
      </x:c>
      <x:c r="U42" s="73"/>
      <x:c r="V42" s="73"/>
      <x:c r="W42" s="73"/>
      <x:c r="X42" s="73"/>
      <x:c r="Y42" s="73"/>
      <x:c r="Z42" s="73"/>
      <x:c r="AA42" s="73"/>
    </x:row>
    <x:row r="43">
      <x:c r="A43" s="38" t="str">
        <x:f>'Raw_Data'!A43</x:f>
        <x:v>SSE</x:v>
      </x:c>
      <x:c r="B43" s="38" t="str">
        <x:f>'Raw_Data'!B43</x:f>
        <x:v>SSE</x:v>
      </x:c>
      <x:c r="C43" s="38" t="str">
        <x:f>'Raw_Data'!C43</x:f>
        <x:v>Utilities</x:v>
      </x:c>
      <x:c r="D43" s="38" t="str">
        <x:f>'Raw_Data'!D43</x:f>
        <x:v>GBP</x:v>
      </x:c>
      <x:c r="E43" s="38" t="n">
        <x:f>'Raw_Data'!E43</x:f>
        <x:v>2026</x:v>
      </x:c>
      <x:c r="F43" s="42" t="n">
        <x:f>'Raw_Data'!F43</x:f>
        <x:v>10187</x:v>
      </x:c>
      <x:c r="G43" s="42" t="n">
        <x:f>'Raw_Data'!G43</x:f>
        <x:v>1889</x:v>
      </x:c>
      <x:c r="H43" s="42" t="n">
        <x:f>'Raw_Data'!H43</x:f>
        <x:v>310.4</x:v>
      </x:c>
      <x:c r="I43" s="42" t="n">
        <x:f>'Raw_Data'!I43</x:f>
        <x:v>10121</x:v>
      </x:c>
      <x:c r="J43" s="44" t="n">
        <x:f>'Raw_Data'!J43</x:f>
        <x:v>-0.0699</x:v>
      </x:c>
      <x:c r="K43" s="45" t="n">
        <x:f>IFERROR(G43/F43,"")</x:f>
        <x:v>0.18543241386080297</x:v>
      </x:c>
      <x:c r="L43" s="48" t="n">
        <x:f>IFERROR(G43/ABS(H43),"")</x:f>
        <x:v>6.085695876288661</x:v>
      </x:c>
      <x:c r="M43" s="48" t="n">
        <x:f>IFERROR(I43/F43,"")</x:f>
        <x:v>0.9935211544124865</x:v>
      </x:c>
      <x:c r="N43" s="48" t="n">
        <x:f>IF(G43&lt;=0,"",I43/G43)</x:f>
        <x:v>5.357861302276337</x:v>
      </x:c>
      <x:c r="O43" s="50" t="n">
        <x:f>F43*J43</x:f>
        <x:v>-712.0713000000001</x:v>
      </x:c>
      <x:c r="P43" s="45" t="n">
        <x:f>IFERROR(O43/I43,"")</x:f>
        <x:v>-0.07035582452326845</x:v>
      </x:c>
      <x:c r="Q43" s="45" t="n">
        <x:f>IFERROR(F43/F42-1,"")</x:f>
        <x:v>0.005428345834978199</x:v>
      </x:c>
      <x:c r="R43" s="45" t="n">
        <x:f>IFERROR(G43/G42-1,"")</x:f>
        <x:v>-0.03720693170234457</x:v>
      </x:c>
      <x:c r="S43" s="45" t="n">
        <x:f>IFERROR(I43/I42-1,"")</x:f>
        <x:v>-0.045548849490758214</x:v>
      </x:c>
      <x:c r="T43" s="45" t="n">
        <x:f>IFERROR(K43-K42,"")</x:f>
        <x:v>-0.00821148665242244</x:v>
      </x:c>
      <x:c r="U43" s="73"/>
      <x:c r="V43" s="73"/>
      <x:c r="W43" s="73"/>
      <x:c r="X43" s="73"/>
      <x:c r="Y43" s="73"/>
      <x:c r="Z43" s="73"/>
      <x:c r="AA43" s="73"/>
    </x:row>
    <x:row r="44">
      <x:c r="A44" s="38" t="str">
        <x:f>'Raw_Data'!A44</x:f>
        <x:v>Smith &amp; Nephew</x:v>
      </x:c>
      <x:c r="B44" s="38" t="str">
        <x:f>'Raw_Data'!B44</x:f>
        <x:v>SN</x:v>
      </x:c>
      <x:c r="C44" s="38" t="str">
        <x:f>'Raw_Data'!C44</x:f>
        <x:v>Healthcare</x:v>
      </x:c>
      <x:c r="D44" s="38" t="str">
        <x:f>'Raw_Data'!D44</x:f>
        <x:v>USD</x:v>
      </x:c>
      <x:c r="E44" s="38" t="n">
        <x:f>'Raw_Data'!E44</x:f>
        <x:v>2022</x:v>
      </x:c>
      <x:c r="F44" s="42" t="n">
        <x:f>'Raw_Data'!F44</x:f>
        <x:v>5215</x:v>
      </x:c>
      <x:c r="G44" s="42" t="n">
        <x:f>'Raw_Data'!G44</x:f>
        <x:v>658</x:v>
      </x:c>
      <x:c r="H44" s="42" t="n">
        <x:f>'Raw_Data'!H44</x:f>
        <x:v>80</x:v>
      </x:c>
      <x:c r="I44" s="42" t="n">
        <x:f>'Raw_Data'!I44</x:f>
        <x:v>2872</x:v>
      </x:c>
      <x:c r="J44" s="44" t="n">
        <x:f>'Raw_Data'!J44</x:f>
        <x:v>0.0211</x:v>
      </x:c>
      <x:c r="K44" s="45" t="n">
        <x:f>IFERROR(G44/F44,"")</x:f>
        <x:v>0.1261744966442953</x:v>
      </x:c>
      <x:c r="L44" s="48" t="n">
        <x:f>IFERROR(G44/ABS(H44),"")</x:f>
        <x:v>8.225</x:v>
      </x:c>
      <x:c r="M44" s="48" t="n">
        <x:f>IFERROR(I44/F44,"")</x:f>
        <x:v>0.55071907957814</x:v>
      </x:c>
      <x:c r="N44" s="48" t="n">
        <x:f>IF(G44&lt;=0,"",I44/G44)</x:f>
        <x:v>4.364741641337386</x:v>
      </x:c>
      <x:c r="O44" s="50" t="n">
        <x:f>F44*J44</x:f>
        <x:v>110.0365</x:v>
      </x:c>
      <x:c r="P44" s="45" t="n">
        <x:f>IFERROR(O44/I44,"")</x:f>
        <x:v>0.03831354456824513</x:v>
      </x:c>
      <x:c r="Q44" s="45" t="str"/>
      <x:c r="R44" s="45" t="str"/>
      <x:c r="S44" s="45" t="str"/>
      <x:c r="T44" s="45" t="str"/>
      <x:c r="U44" s="73"/>
      <x:c r="V44" s="73"/>
      <x:c r="W44" s="73"/>
      <x:c r="X44" s="73"/>
      <x:c r="Y44" s="73"/>
      <x:c r="Z44" s="73"/>
      <x:c r="AA44" s="73"/>
    </x:row>
    <x:row r="45">
      <x:c r="A45" s="38" t="str">
        <x:f>'Raw_Data'!A45</x:f>
        <x:v>Smith &amp; Nephew</x:v>
      </x:c>
      <x:c r="B45" s="38" t="str">
        <x:f>'Raw_Data'!B45</x:f>
        <x:v>SN</x:v>
      </x:c>
      <x:c r="C45" s="38" t="str">
        <x:f>'Raw_Data'!C45</x:f>
        <x:v>Healthcare</x:v>
      </x:c>
      <x:c r="D45" s="38" t="str">
        <x:f>'Raw_Data'!D45</x:f>
        <x:v>USD</x:v>
      </x:c>
      <x:c r="E45" s="38" t="n">
        <x:f>'Raw_Data'!E45</x:f>
        <x:v>2023</x:v>
      </x:c>
      <x:c r="F45" s="42" t="n">
        <x:f>'Raw_Data'!F45</x:f>
        <x:v>5549</x:v>
      </x:c>
      <x:c r="G45" s="42" t="n">
        <x:f>'Raw_Data'!G45</x:f>
        <x:v>741</x:v>
      </x:c>
      <x:c r="H45" s="42" t="n">
        <x:f>'Raw_Data'!H45</x:f>
        <x:v>132</x:v>
      </x:c>
      <x:c r="I45" s="42" t="n">
        <x:f>'Raw_Data'!I45</x:f>
        <x:v>3084</x:v>
      </x:c>
      <x:c r="J45" s="44" t="n">
        <x:f>'Raw_Data'!J45</x:f>
        <x:v>0.0326</x:v>
      </x:c>
      <x:c r="K45" s="45" t="n">
        <x:f>IFERROR(G45/F45,"")</x:f>
        <x:v>0.1335375743377185</x:v>
      </x:c>
      <x:c r="L45" s="48" t="n">
        <x:f>IFERROR(G45/ABS(H45),"")</x:f>
        <x:v>5.613636363636363</x:v>
      </x:c>
      <x:c r="M45" s="48" t="n">
        <x:f>IFERROR(I45/F45,"")</x:f>
        <x:v>0.5557758154622454</x:v>
      </x:c>
      <x:c r="N45" s="48" t="n">
        <x:f>IF(G45&lt;=0,"",I45/G45)</x:f>
        <x:v>4.161943319838056</x:v>
      </x:c>
      <x:c r="O45" s="50" t="n">
        <x:f>F45*J45</x:f>
        <x:v>180.89739999999998</x:v>
      </x:c>
      <x:c r="P45" s="45" t="n">
        <x:f>IFERROR(O45/I45,"")</x:f>
        <x:v>0.05865674448767833</x:v>
      </x:c>
      <x:c r="Q45" s="45" t="n">
        <x:f>IFERROR(F45/F44-1,"")</x:f>
        <x:v>0.06404602109300095</x:v>
      </x:c>
      <x:c r="R45" s="45" t="n">
        <x:f>IFERROR(G45/G44-1,"")</x:f>
        <x:v>0.12613981762917925</x:v>
      </x:c>
      <x:c r="S45" s="45" t="n">
        <x:f>IFERROR(I45/I44-1,"")</x:f>
        <x:v>0.07381615598885793</x:v>
      </x:c>
      <x:c r="T45" s="45" t="n">
        <x:f>IFERROR(K45-K44,"")</x:f>
        <x:v>0.007363077693423203</x:v>
      </x:c>
      <x:c r="U45" s="73"/>
      <x:c r="V45" s="73"/>
      <x:c r="W45" s="73"/>
      <x:c r="X45" s="73"/>
      <x:c r="Y45" s="73"/>
      <x:c r="Z45" s="73"/>
      <x:c r="AA45" s="73"/>
    </x:row>
    <x:row r="46">
      <x:c r="A46" s="38" t="str">
        <x:f>'Raw_Data'!A46</x:f>
        <x:v>Smith &amp; Nephew</x:v>
      </x:c>
      <x:c r="B46" s="38" t="str">
        <x:f>'Raw_Data'!B46</x:f>
        <x:v>SN</x:v>
      </x:c>
      <x:c r="C46" s="38" t="str">
        <x:f>'Raw_Data'!C46</x:f>
        <x:v>Healthcare</x:v>
      </x:c>
      <x:c r="D46" s="38" t="str">
        <x:f>'Raw_Data'!D46</x:f>
        <x:v>USD</x:v>
      </x:c>
      <x:c r="E46" s="38" t="n">
        <x:f>'Raw_Data'!E46</x:f>
        <x:v>2024</x:v>
      </x:c>
      <x:c r="F46" s="42" t="n">
        <x:f>'Raw_Data'!F46</x:f>
        <x:v>5810</x:v>
      </x:c>
      <x:c r="G46" s="42" t="n">
        <x:f>'Raw_Data'!G46</x:f>
        <x:v>886</x:v>
      </x:c>
      <x:c r="H46" s="42" t="n">
        <x:f>'Raw_Data'!H46</x:f>
        <x:v>145</x:v>
      </x:c>
      <x:c r="I46" s="42" t="n">
        <x:f>'Raw_Data'!I46</x:f>
        <x:v>3321</x:v>
      </x:c>
      <x:c r="J46" s="44" t="n">
        <x:f>'Raw_Data'!J46</x:f>
        <x:v>0.1043</x:v>
      </x:c>
      <x:c r="K46" s="45" t="n">
        <x:f>IFERROR(G46/F46,"")</x:f>
        <x:v>0.15249569707401034</x:v>
      </x:c>
      <x:c r="L46" s="48" t="n">
        <x:f>IFERROR(G46/ABS(H46),"")</x:f>
        <x:v>6.110344827586207</x:v>
      </x:c>
      <x:c r="M46" s="48" t="n">
        <x:f>IFERROR(I46/F46,"")</x:f>
        <x:v>0.5716006884681584</x:v>
      </x:c>
      <x:c r="N46" s="48" t="n">
        <x:f>IF(G46&lt;=0,"",I46/G46)</x:f>
        <x:v>3.7483069977426635</x:v>
      </x:c>
      <x:c r="O46" s="50" t="n">
        <x:f>F46*J46</x:f>
        <x:v>605.9830000000001</x:v>
      </x:c>
      <x:c r="P46" s="45" t="n">
        <x:f>IFERROR(O46/I46,"")</x:f>
        <x:v>0.18247003914483592</x:v>
      </x:c>
      <x:c r="Q46" s="45" t="n">
        <x:f>IFERROR(F46/F45-1,"")</x:f>
        <x:v>0.04703550189223282</x:v>
      </x:c>
      <x:c r="R46" s="45" t="n">
        <x:f>IFERROR(G46/G45-1,"")</x:f>
        <x:v>0.19568151147098511</x:v>
      </x:c>
      <x:c r="S46" s="45" t="n">
        <x:f>IFERROR(I46/I45-1,"")</x:f>
        <x:v>0.0768482490272373</x:v>
      </x:c>
      <x:c r="T46" s="45" t="n">
        <x:f>IFERROR(K46-K45,"")</x:f>
        <x:v>0.018958122736291827</x:v>
      </x:c>
      <x:c r="U46" s="73"/>
      <x:c r="V46" s="73"/>
      <x:c r="W46" s="73"/>
      <x:c r="X46" s="73"/>
      <x:c r="Y46" s="73"/>
      <x:c r="Z46" s="73"/>
      <x:c r="AA46" s="73"/>
    </x:row>
    <x:row r="47">
      <x:c r="A47" s="38" t="str">
        <x:f>'Raw_Data'!A47</x:f>
        <x:v>Smith &amp; Nephew</x:v>
      </x:c>
      <x:c r="B47" s="38" t="str">
        <x:f>'Raw_Data'!B47</x:f>
        <x:v>SN</x:v>
      </x:c>
      <x:c r="C47" s="38" t="str">
        <x:f>'Raw_Data'!C47</x:f>
        <x:v>Healthcare</x:v>
      </x:c>
      <x:c r="D47" s="38" t="str">
        <x:f>'Raw_Data'!D47</x:f>
        <x:v>USD</x:v>
      </x:c>
      <x:c r="E47" s="38" t="n">
        <x:f>'Raw_Data'!E47</x:f>
        <x:v>2025</x:v>
      </x:c>
      <x:c r="F47" s="42" t="n">
        <x:f>'Raw_Data'!F47</x:f>
        <x:v>6164</x:v>
      </x:c>
      <x:c r="G47" s="42" t="n">
        <x:f>'Raw_Data'!G47</x:f>
        <x:v>877</x:v>
      </x:c>
      <x:c r="H47" s="42" t="n">
        <x:f>'Raw_Data'!H47</x:f>
        <x:v>140</x:v>
      </x:c>
      <x:c r="I47" s="42" t="n">
        <x:f>'Raw_Data'!I47</x:f>
        <x:v>3327</x:v>
      </x:c>
      <x:c r="J47" s="44" t="n">
        <x:f>'Raw_Data'!J47</x:f>
        <x:v>0.1382</x:v>
      </x:c>
      <x:c r="K47" s="45" t="n">
        <x:f>IFERROR(G47/F47,"")</x:f>
        <x:v>0.14227774172615185</x:v>
      </x:c>
      <x:c r="L47" s="48" t="n">
        <x:f>IFERROR(G47/ABS(H47),"")</x:f>
        <x:v>6.264285714285714</x:v>
      </x:c>
      <x:c r="M47" s="48" t="n">
        <x:f>IFERROR(I47/F47,"")</x:f>
        <x:v>0.5397469175859831</x:v>
      </x:c>
      <x:c r="N47" s="48" t="n">
        <x:f>IF(G47&lt;=0,"",I47/G47)</x:f>
        <x:v>3.7936145952109466</x:v>
      </x:c>
      <x:c r="O47" s="50" t="n">
        <x:f>F47*J47</x:f>
        <x:v>851.8648</x:v>
      </x:c>
      <x:c r="P47" s="45" t="n">
        <x:f>IFERROR(O47/I47,"")</x:f>
        <x:v>0.2560459272617974</x:v>
      </x:c>
      <x:c r="Q47" s="45" t="n">
        <x:f>IFERROR(F47/F46-1,"")</x:f>
        <x:v>0.060929432013769436</x:v>
      </x:c>
      <x:c r="R47" s="45" t="n">
        <x:f>IFERROR(G47/G46-1,"")</x:f>
        <x:v>-0.010158013544018019</x:v>
      </x:c>
      <x:c r="S47" s="45" t="n">
        <x:f>IFERROR(I47/I46-1,"")</x:f>
        <x:v>0.0018066847335140857</x:v>
      </x:c>
      <x:c r="T47" s="45" t="n">
        <x:f>IFERROR(K47-K46,"")</x:f>
        <x:v>-0.010217955347858493</x:v>
      </x:c>
      <x:c r="U47" s="73"/>
      <x:c r="V47" s="73"/>
      <x:c r="W47" s="73"/>
      <x:c r="X47" s="73"/>
      <x:c r="Y47" s="73"/>
      <x:c r="Z47" s="73"/>
      <x:c r="AA47" s="73"/>
    </x:row>
    <x:row r="48">
      <x:c r="A48" s="38" t="str">
        <x:f>'Raw_Data'!A48</x:f>
        <x:v>Tesco</x:v>
      </x:c>
      <x:c r="B48" s="38" t="str">
        <x:f>'Raw_Data'!B48</x:f>
        <x:v>TSCO</x:v>
      </x:c>
      <x:c r="C48" s="38" t="str">
        <x:f>'Raw_Data'!C48</x:f>
        <x:v>Consumer &amp; Retail</x:v>
      </x:c>
      <x:c r="D48" s="38" t="str">
        <x:f>'Raw_Data'!D48</x:f>
        <x:v>GBP</x:v>
      </x:c>
      <x:c r="E48" s="38" t="n">
        <x:f>'Raw_Data'!E48</x:f>
        <x:v>2022</x:v>
      </x:c>
      <x:c r="F48" s="42" t="n">
        <x:f>'Raw_Data'!F48</x:f>
        <x:v>61344</x:v>
      </x:c>
      <x:c r="G48" s="42" t="n">
        <x:f>'Raw_Data'!G48</x:f>
        <x:v>2870</x:v>
      </x:c>
      <x:c r="H48" s="42" t="n">
        <x:f>'Raw_Data'!H48</x:f>
        <x:v>652</x:v>
      </x:c>
      <x:c r="I48" s="42" t="n">
        <x:f>'Raw_Data'!I48</x:f>
        <x:v>15357</x:v>
      </x:c>
      <x:c r="J48" s="44" t="n">
        <x:f>'Raw_Data'!J48</x:f>
        <x:v>0.0458</x:v>
      </x:c>
      <x:c r="K48" s="45" t="n">
        <x:f>IFERROR(G48/F48,"")</x:f>
        <x:v>0.046785341679707874</x:v>
      </x:c>
      <x:c r="L48" s="48" t="n">
        <x:f>IFERROR(G48/ABS(H48),"")</x:f>
        <x:v>4.401840490797546</x:v>
      </x:c>
      <x:c r="M48" s="48" t="n">
        <x:f>IFERROR(I48/F48,"")</x:f>
        <x:v>0.2503423317683881</x:v>
      </x:c>
      <x:c r="N48" s="48" t="n">
        <x:f>IF(G48&lt;=0,"",I48/G48)</x:f>
        <x:v>5.350871080139373</x:v>
      </x:c>
      <x:c r="O48" s="50" t="n">
        <x:f>F48*J48</x:f>
        <x:v>2809.5552000000002</x:v>
      </x:c>
      <x:c r="P48" s="45" t="n">
        <x:f>IFERROR(O48/I48,"")</x:f>
        <x:v>0.1829494823207658</x:v>
      </x:c>
      <x:c r="Q48" s="45" t="str"/>
      <x:c r="R48" s="45" t="str"/>
      <x:c r="S48" s="45" t="str"/>
      <x:c r="T48" s="45" t="str"/>
      <x:c r="U48" s="73"/>
      <x:c r="V48" s="73"/>
      <x:c r="W48" s="73"/>
      <x:c r="X48" s="73"/>
      <x:c r="Y48" s="73"/>
      <x:c r="Z48" s="73"/>
      <x:c r="AA48" s="73"/>
    </x:row>
    <x:row r="49">
      <x:c r="A49" s="38" t="str">
        <x:f>'Raw_Data'!A49</x:f>
        <x:v>Tesco</x:v>
      </x:c>
      <x:c r="B49" s="38" t="str">
        <x:f>'Raw_Data'!B49</x:f>
        <x:v>TSCO</x:v>
      </x:c>
      <x:c r="C49" s="38" t="str">
        <x:f>'Raw_Data'!C49</x:f>
        <x:v>Consumer &amp; Retail</x:v>
      </x:c>
      <x:c r="D49" s="38" t="str">
        <x:f>'Raw_Data'!D49</x:f>
        <x:v>GBP</x:v>
      </x:c>
      <x:c r="E49" s="38" t="n">
        <x:f>'Raw_Data'!E49</x:f>
        <x:v>2023</x:v>
      </x:c>
      <x:c r="F49" s="42" t="n">
        <x:f>'Raw_Data'!F49</x:f>
        <x:v>65322</x:v>
      </x:c>
      <x:c r="G49" s="42" t="n">
        <x:f>'Raw_Data'!G49</x:f>
        <x:v>2595</x:v>
      </x:c>
      <x:c r="H49" s="42" t="n">
        <x:f>'Raw_Data'!H49</x:f>
        <x:v>709</x:v>
      </x:c>
      <x:c r="I49" s="42" t="n">
        <x:f>'Raw_Data'!I49</x:f>
        <x:v>15078</x:v>
      </x:c>
      <x:c r="J49" s="44" t="n">
        <x:f>'Raw_Data'!J49</x:f>
        <x:v>0.0421</x:v>
      </x:c>
      <x:c r="K49" s="45" t="n">
        <x:f>IFERROR(G49/F49,"")</x:f>
        <x:v>0.03972627904840636</x:v>
      </x:c>
      <x:c r="L49" s="48" t="n">
        <x:f>IFERROR(G49/ABS(H49),"")</x:f>
        <x:v>3.6600846262341324</x:v>
      </x:c>
      <x:c r="M49" s="48" t="n">
        <x:f>IFERROR(I49/F49,"")</x:f>
        <x:v>0.23082575548819692</x:v>
      </x:c>
      <x:c r="N49" s="48" t="n">
        <x:f>IF(G49&lt;=0,"",I49/G49)</x:f>
        <x:v>5.8104046242774565</x:v>
      </x:c>
      <x:c r="O49" s="50" t="n">
        <x:f>F49*J49</x:f>
        <x:v>2750.0562</x:v>
      </x:c>
      <x:c r="P49" s="45" t="n">
        <x:f>IFERROR(O49/I49,"")</x:f>
        <x:v>0.18238865897333864</x:v>
      </x:c>
      <x:c r="Q49" s="45" t="n">
        <x:f>IFERROR(F49/F48-1,"")</x:f>
        <x:v>0.06484741784037551</x:v>
      </x:c>
      <x:c r="R49" s="45" t="n">
        <x:f>IFERROR(G49/G48-1,"")</x:f>
        <x:v>-0.09581881533101044</x:v>
      </x:c>
      <x:c r="S49" s="45" t="n">
        <x:f>IFERROR(I49/I48-1,"")</x:f>
        <x:v>-0.01816761086149643</x:v>
      </x:c>
      <x:c r="T49" s="45" t="n">
        <x:f>IFERROR(K49-K48,"")</x:f>
        <x:v>-0.007059062631301516</x:v>
      </x:c>
      <x:c r="U49" s="73"/>
      <x:c r="V49" s="73"/>
      <x:c r="W49" s="73"/>
      <x:c r="X49" s="73"/>
      <x:c r="Y49" s="73"/>
      <x:c r="Z49" s="73"/>
      <x:c r="AA49" s="73"/>
    </x:row>
    <x:row r="50">
      <x:c r="A50" s="38" t="str">
        <x:f>'Raw_Data'!A50</x:f>
        <x:v>Tesco</x:v>
      </x:c>
      <x:c r="B50" s="38" t="str">
        <x:f>'Raw_Data'!B50</x:f>
        <x:v>TSCO</x:v>
      </x:c>
      <x:c r="C50" s="38" t="str">
        <x:f>'Raw_Data'!C50</x:f>
        <x:v>Consumer &amp; Retail</x:v>
      </x:c>
      <x:c r="D50" s="38" t="str">
        <x:f>'Raw_Data'!D50</x:f>
        <x:v>GBP</x:v>
      </x:c>
      <x:c r="E50" s="38" t="n">
        <x:f>'Raw_Data'!E50</x:f>
        <x:v>2024</x:v>
      </x:c>
      <x:c r="F50" s="42" t="n">
        <x:f>'Raw_Data'!F50</x:f>
        <x:v>68187</x:v>
      </x:c>
      <x:c r="G50" s="42" t="n">
        <x:f>'Raw_Data'!G50</x:f>
        <x:v>2819</x:v>
      </x:c>
      <x:c r="H50" s="42" t="n">
        <x:f>'Raw_Data'!H50</x:f>
        <x:v>807</x:v>
      </x:c>
      <x:c r="I50" s="42" t="n">
        <x:f>'Raw_Data'!I50</x:f>
        <x:v>14841</x:v>
      </x:c>
      <x:c r="J50" s="44" t="n">
        <x:f>'Raw_Data'!J50</x:f>
        <x:v>0.04</x:v>
      </x:c>
      <x:c r="K50" s="45" t="n">
        <x:f>IFERROR(G50/F50,"")</x:f>
        <x:v>0.041342191326792496</x:v>
      </x:c>
      <x:c r="L50" s="48" t="n">
        <x:f>IFERROR(G50/ABS(H50),"")</x:f>
        <x:v>3.493184634448575</x:v>
      </x:c>
      <x:c r="M50" s="48" t="n">
        <x:f>IFERROR(I50/F50,"")</x:f>
        <x:v>0.21765145848915482</x:v>
      </x:c>
      <x:c r="N50" s="48" t="n">
        <x:f>IF(G50&lt;=0,"",I50/G50)</x:f>
        <x:v>5.264632848527847</x:v>
      </x:c>
      <x:c r="O50" s="50" t="n">
        <x:f>F50*J50</x:f>
        <x:v>2727.48</x:v>
      </x:c>
      <x:c r="P50" s="45" t="n">
        <x:f>IFERROR(O50/I50,"")</x:f>
        <x:v>0.18378006872852234</x:v>
      </x:c>
      <x:c r="Q50" s="45" t="n">
        <x:f>IFERROR(F50/F49-1,"")</x:f>
        <x:v>0.04385964912280693</x:v>
      </x:c>
      <x:c r="R50" s="45" t="n">
        <x:f>IFERROR(G50/G49-1,"")</x:f>
        <x:v>0.08631984585741814</x:v>
      </x:c>
      <x:c r="S50" s="45" t="n">
        <x:f>IFERROR(I50/I49-1,"")</x:f>
        <x:v>-0.015718265021886224</x:v>
      </x:c>
      <x:c r="T50" s="45" t="n">
        <x:f>IFERROR(K50-K49,"")</x:f>
        <x:v>0.0016159122783861377</x:v>
      </x:c>
      <x:c r="U50" s="73"/>
      <x:c r="V50" s="73"/>
      <x:c r="W50" s="73"/>
      <x:c r="X50" s="73"/>
      <x:c r="Y50" s="73"/>
      <x:c r="Z50" s="73"/>
      <x:c r="AA50" s="73"/>
    </x:row>
    <x:row r="51">
      <x:c r="A51" s="38" t="str">
        <x:f>'Raw_Data'!A51</x:f>
        <x:v>Tesco</x:v>
      </x:c>
      <x:c r="B51" s="38" t="str">
        <x:f>'Raw_Data'!B51</x:f>
        <x:v>TSCO</x:v>
      </x:c>
      <x:c r="C51" s="38" t="str">
        <x:f>'Raw_Data'!C51</x:f>
        <x:v>Consumer &amp; Retail</x:v>
      </x:c>
      <x:c r="D51" s="38" t="str">
        <x:f>'Raw_Data'!D51</x:f>
        <x:v>GBP</x:v>
      </x:c>
      <x:c r="E51" s="38" t="n">
        <x:f>'Raw_Data'!E51</x:f>
        <x:v>2025</x:v>
      </x:c>
      <x:c r="F51" s="42" t="n">
        <x:f>'Raw_Data'!F51</x:f>
        <x:v>69916</x:v>
      </x:c>
      <x:c r="G51" s="42" t="n">
        <x:f>'Raw_Data'!G51</x:f>
        <x:v>2999</x:v>
      </x:c>
      <x:c r="H51" s="42" t="n">
        <x:f>'Raw_Data'!H51</x:f>
        <x:v>769</x:v>
      </x:c>
      <x:c r="I51" s="42" t="n">
        <x:f>'Raw_Data'!I51</x:f>
        <x:v>14666</x:v>
      </x:c>
      <x:c r="J51" s="44" t="n">
        <x:f>'Raw_Data'!J51</x:f>
        <x:v>0.024</x:v>
      </x:c>
      <x:c r="K51" s="45" t="n">
        <x:f>IFERROR(G51/F51,"")</x:f>
        <x:v>0.04289433033926426</x:v>
      </x:c>
      <x:c r="L51" s="48" t="n">
        <x:f>IFERROR(G51/ABS(H51),"")</x:f>
        <x:v>3.8998699609882963</x:v>
      </x:c>
      <x:c r="M51" s="48" t="n">
        <x:f>IFERROR(I51/F51,"")</x:f>
        <x:v>0.20976600492018993</x:v>
      </x:c>
      <x:c r="N51" s="48" t="n">
        <x:f>IF(G51&lt;=0,"",I51/G51)</x:f>
        <x:v>4.89029676558853</x:v>
      </x:c>
      <x:c r="O51" s="50" t="n">
        <x:f>F51*J51</x:f>
        <x:v>1677.984</x:v>
      </x:c>
      <x:c r="P51" s="45" t="n">
        <x:f>IFERROR(O51/I51,"")</x:f>
        <x:v>0.11441320060002727</x:v>
      </x:c>
      <x:c r="Q51" s="45" t="n">
        <x:f>IFERROR(F51/F50-1,"")</x:f>
        <x:v>0.025356739554460495</x:v>
      </x:c>
      <x:c r="R51" s="45" t="n">
        <x:f>IFERROR(G51/G50-1,"")</x:f>
        <x:v>0.06385242993969498</x:v>
      </x:c>
      <x:c r="S51" s="45" t="n">
        <x:f>IFERROR(I51/I50-1,"")</x:f>
        <x:v>-0.011791658244053593</x:v>
      </x:c>
      <x:c r="T51" s="45" t="n">
        <x:f>IFERROR(K51-K50,"")</x:f>
        <x:v>0.0015521390124717607</x:v>
      </x:c>
      <x:c r="U51" s="73"/>
      <x:c r="V51" s="73"/>
      <x:c r="W51" s="73"/>
      <x:c r="X51" s="73"/>
      <x:c r="Y51" s="73"/>
      <x:c r="Z51" s="73"/>
      <x:c r="AA51" s="73"/>
    </x:row>
    <x:row r="52">
      <x:c r="A52" s="38" t="str">
        <x:f>'Raw_Data'!A52</x:f>
        <x:v>Unilever</x:v>
      </x:c>
      <x:c r="B52" s="38" t="str">
        <x:f>'Raw_Data'!B52</x:f>
        <x:v>ULVR</x:v>
      </x:c>
      <x:c r="C52" s="38" t="str">
        <x:f>'Raw_Data'!C52</x:f>
        <x:v>Consumer &amp; Retail</x:v>
      </x:c>
      <x:c r="D52" s="38" t="str">
        <x:f>'Raw_Data'!D52</x:f>
        <x:v>EUR</x:v>
      </x:c>
      <x:c r="E52" s="38" t="n">
        <x:f>'Raw_Data'!E52</x:f>
        <x:v>2022</x:v>
      </x:c>
      <x:c r="F52" s="42" t="n">
        <x:f>'Raw_Data'!F52</x:f>
        <x:v>60073</x:v>
      </x:c>
      <x:c r="G52" s="42" t="n">
        <x:f>'Raw_Data'!G52</x:f>
        <x:v>9512</x:v>
      </x:c>
      <x:c r="H52" s="42" t="n">
        <x:f>'Raw_Data'!H52</x:f>
        <x:v>789</x:v>
      </x:c>
      <x:c r="I52" s="42" t="n">
        <x:f>'Raw_Data'!I52</x:f>
        <x:v>29488</x:v>
      </x:c>
      <x:c r="J52" s="44" t="n">
        <x:f>'Raw_Data'!J52</x:f>
        <x:v>0.097</x:v>
      </x:c>
      <x:c r="K52" s="45" t="n">
        <x:f>IFERROR(G52/F52,"")</x:f>
        <x:v>0.1583406854993092</x:v>
      </x:c>
      <x:c r="L52" s="48" t="n">
        <x:f>IFERROR(G52/ABS(H52),"")</x:f>
        <x:v>12.05576679340938</x:v>
      </x:c>
      <x:c r="M52" s="48" t="n">
        <x:f>IFERROR(I52/F52,"")</x:f>
        <x:v>0.4908694421786826</x:v>
      </x:c>
      <x:c r="N52" s="48" t="n">
        <x:f>IF(G52&lt;=0,"",I52/G52)</x:f>
        <x:v>3.100084104289319</x:v>
      </x:c>
      <x:c r="O52" s="50" t="n">
        <x:f>F52*J52</x:f>
        <x:v>5827.081</x:v>
      </x:c>
      <x:c r="P52" s="45" t="n">
        <x:f>IFERROR(O52/I52,"")</x:f>
        <x:v>0.19760855263157895</x:v>
      </x:c>
      <x:c r="Q52" s="45" t="str"/>
      <x:c r="R52" s="45" t="str"/>
      <x:c r="S52" s="45" t="str"/>
      <x:c r="T52" s="45" t="str"/>
      <x:c r="U52" s="73"/>
      <x:c r="V52" s="73"/>
      <x:c r="W52" s="73"/>
      <x:c r="X52" s="73"/>
      <x:c r="Y52" s="73"/>
      <x:c r="Z52" s="73"/>
      <x:c r="AA52" s="73"/>
    </x:row>
    <x:row r="53">
      <x:c r="A53" s="38" t="str">
        <x:f>'Raw_Data'!A53</x:f>
        <x:v>Unilever</x:v>
      </x:c>
      <x:c r="B53" s="38" t="str">
        <x:f>'Raw_Data'!B53</x:f>
        <x:v>ULVR</x:v>
      </x:c>
      <x:c r="C53" s="38" t="str">
        <x:f>'Raw_Data'!C53</x:f>
        <x:v>Consumer &amp; Retail</x:v>
      </x:c>
      <x:c r="D53" s="38" t="str">
        <x:f>'Raw_Data'!D53</x:f>
        <x:v>EUR</x:v>
      </x:c>
      <x:c r="E53" s="38" t="n">
        <x:f>'Raw_Data'!E53</x:f>
        <x:v>2023</x:v>
      </x:c>
      <x:c r="F53" s="42" t="n">
        <x:f>'Raw_Data'!F53</x:f>
        <x:v>51680</x:v>
      </x:c>
      <x:c r="G53" s="42" t="n">
        <x:f>'Raw_Data'!G53</x:f>
        <x:v>9275</x:v>
      </x:c>
      <x:c r="H53" s="42" t="n">
        <x:f>'Raw_Data'!H53</x:f>
        <x:v>955</x:v>
      </x:c>
      <x:c r="I53" s="42" t="n">
        <x:f>'Raw_Data'!I53</x:f>
        <x:v>29622</x:v>
      </x:c>
      <x:c r="J53" s="44" t="n">
        <x:f>'Raw_Data'!J53</x:f>
        <x:v>0.1593</x:v>
      </x:c>
      <x:c r="K53" s="45" t="n">
        <x:f>IFERROR(G53/F53,"")</x:f>
        <x:v>0.17946981424148606</x:v>
      </x:c>
      <x:c r="L53" s="48" t="n">
        <x:f>IFERROR(G53/ABS(H53),"")</x:f>
        <x:v>9.712041884816754</x:v>
      </x:c>
      <x:c r="M53" s="48" t="n">
        <x:f>IFERROR(I53/F53,"")</x:f>
        <x:v>0.5731811145510836</x:v>
      </x:c>
      <x:c r="N53" s="48" t="n">
        <x:f>IF(G53&lt;=0,"",I53/G53)</x:f>
        <x:v>3.193746630727763</x:v>
      </x:c>
      <x:c r="O53" s="50" t="n">
        <x:f>F53*J53</x:f>
        <x:v>8232.624</x:v>
      </x:c>
      <x:c r="P53" s="45" t="n">
        <x:f>IFERROR(O53/I53,"")</x:f>
        <x:v>0.27792262507595705</x:v>
      </x:c>
      <x:c r="Q53" s="45" t="n">
        <x:f>IFERROR(F53/F52-1,"")</x:f>
        <x:v>-0.13971334875900987</x:v>
      </x:c>
      <x:c r="R53" s="45" t="n">
        <x:f>IFERROR(G53/G52-1,"")</x:f>
        <x:v>-0.024915895710681202</x:v>
      </x:c>
      <x:c r="S53" s="45" t="n">
        <x:f>IFERROR(I53/I52-1,"")</x:f>
        <x:v>0.004544221378187663</x:v>
      </x:c>
      <x:c r="T53" s="45" t="n">
        <x:f>IFERROR(K53-K52,"")</x:f>
        <x:v>0.021129128742176873</x:v>
      </x:c>
      <x:c r="U53" s="73"/>
      <x:c r="V53" s="73"/>
      <x:c r="W53" s="73"/>
      <x:c r="X53" s="73"/>
      <x:c r="Y53" s="73"/>
      <x:c r="Z53" s="73"/>
      <x:c r="AA53" s="73"/>
    </x:row>
    <x:row r="54">
      <x:c r="A54" s="38" t="str">
        <x:f>'Raw_Data'!A54</x:f>
        <x:v>Unilever</x:v>
      </x:c>
      <x:c r="B54" s="38" t="str">
        <x:f>'Raw_Data'!B54</x:f>
        <x:v>ULVR</x:v>
      </x:c>
      <x:c r="C54" s="38" t="str">
        <x:f>'Raw_Data'!C54</x:f>
        <x:v>Consumer &amp; Retail</x:v>
      </x:c>
      <x:c r="D54" s="38" t="str">
        <x:f>'Raw_Data'!D54</x:f>
        <x:v>EUR</x:v>
      </x:c>
      <x:c r="E54" s="38" t="n">
        <x:f>'Raw_Data'!E54</x:f>
        <x:v>2024</x:v>
      </x:c>
      <x:c r="F54" s="42" t="n">
        <x:f>'Raw_Data'!F54</x:f>
        <x:v>52479</x:v>
      </x:c>
      <x:c r="G54" s="42" t="n">
        <x:f>'Raw_Data'!G54</x:f>
        <x:v>10278</x:v>
      </x:c>
      <x:c r="H54" s="42" t="n">
        <x:f>'Raw_Data'!H54</x:f>
        <x:v>999</x:v>
      </x:c>
      <x:c r="I54" s="42" t="n">
        <x:f>'Raw_Data'!I54</x:f>
        <x:v>32053</x:v>
      </x:c>
      <x:c r="J54" s="44" t="n">
        <x:f>'Raw_Data'!J54</x:f>
        <x:v>0.1551</x:v>
      </x:c>
      <x:c r="K54" s="45" t="n">
        <x:f>IFERROR(G54/F54,"")</x:f>
        <x:v>0.1958497684788201</x:v>
      </x:c>
      <x:c r="L54" s="48" t="n">
        <x:f>IFERROR(G54/ABS(H54),"")</x:f>
        <x:v>10.288288288288289</x:v>
      </x:c>
      <x:c r="M54" s="48" t="n">
        <x:f>IFERROR(I54/F54,"")</x:f>
        <x:v>0.6107776443910897</x:v>
      </x:c>
      <x:c r="N54" s="48" t="n">
        <x:f>IF(G54&lt;=0,"",I54/G54)</x:f>
        <x:v>3.1186028410196536</x:v>
      </x:c>
      <x:c r="O54" s="50" t="n">
        <x:f>F54*J54</x:f>
        <x:v>8139.492899999999</x:v>
      </x:c>
      <x:c r="P54" s="45" t="n">
        <x:f>IFERROR(O54/I54,"")</x:f>
        <x:v>0.2539385673727888</x:v>
      </x:c>
      <x:c r="Q54" s="45" t="n">
        <x:f>IFERROR(F54/F53-1,"")</x:f>
        <x:v>0.015460526315789425</x:v>
      </x:c>
      <x:c r="R54" s="45" t="n">
        <x:f>IFERROR(G54/G53-1,"")</x:f>
        <x:v>0.10814016172506746</x:v>
      </x:c>
      <x:c r="S54" s="45" t="n">
        <x:f>IFERROR(I54/I53-1,"")</x:f>
        <x:v>0.08206738235095545</x:v>
      </x:c>
      <x:c r="T54" s="45" t="n">
        <x:f>IFERROR(K54-K53,"")</x:f>
        <x:v>0.016379954237334043</x:v>
      </x:c>
      <x:c r="U54" s="73"/>
      <x:c r="V54" s="73"/>
      <x:c r="W54" s="73"/>
      <x:c r="X54" s="73"/>
      <x:c r="Y54" s="73"/>
      <x:c r="Z54" s="73"/>
      <x:c r="AA54" s="73"/>
    </x:row>
    <x:row r="55">
      <x:c r="A55" s="38" t="str">
        <x:f>'Raw_Data'!A55</x:f>
        <x:v>Unilever</x:v>
      </x:c>
      <x:c r="B55" s="38" t="str">
        <x:f>'Raw_Data'!B55</x:f>
        <x:v>ULVR</x:v>
      </x:c>
      <x:c r="C55" s="38" t="str">
        <x:f>'Raw_Data'!C55</x:f>
        <x:v>Consumer &amp; Retail</x:v>
      </x:c>
      <x:c r="D55" s="38" t="str">
        <x:f>'Raw_Data'!D55</x:f>
        <x:v>EUR</x:v>
      </x:c>
      <x:c r="E55" s="38" t="n">
        <x:f>'Raw_Data'!E55</x:f>
        <x:v>2025</x:v>
      </x:c>
      <x:c r="F55" s="42" t="n">
        <x:f>'Raw_Data'!F55</x:f>
        <x:v>50503</x:v>
      </x:c>
      <x:c r="G55" s="42" t="n">
        <x:f>'Raw_Data'!G55</x:f>
        <x:v>10127</x:v>
      </x:c>
      <x:c r="H55" s="42" t="n">
        <x:f>'Raw_Data'!H55</x:f>
        <x:v>1098</x:v>
      </x:c>
      <x:c r="I55" s="42" t="n">
        <x:f>'Raw_Data'!I55</x:f>
        <x:v>28278</x:v>
      </x:c>
      <x:c r="J55" s="44" t="n">
        <x:f>'Raw_Data'!J55</x:f>
        <x:v>0.1373</x:v>
      </x:c>
      <x:c r="K55" s="45" t="n">
        <x:f>IFERROR(G55/F55,"")</x:f>
        <x:v>0.20052274122329367</x:v>
      </x:c>
      <x:c r="L55" s="48" t="n">
        <x:f>IFERROR(G55/ABS(H55),"")</x:f>
        <x:v>9.223132969034609</x:v>
      </x:c>
      <x:c r="M55" s="48" t="n">
        <x:f>IFERROR(I55/F55,"")</x:f>
        <x:v>0.5599271330416015</x:v>
      </x:c>
      <x:c r="N55" s="48" t="n">
        <x:f>IF(G55&lt;=0,"",I55/G55)</x:f>
        <x:v>2.7923373160857117</x:v>
      </x:c>
      <x:c r="O55" s="50" t="n">
        <x:f>F55*J55</x:f>
        <x:v>6934.061900000001</x:v>
      </x:c>
      <x:c r="P55" s="45" t="n">
        <x:f>IFERROR(O55/I55,"")</x:f>
        <x:v>0.2452104781101917</x:v>
      </x:c>
      <x:c r="Q55" s="45" t="n">
        <x:f>IFERROR(F55/F54-1,"")</x:f>
        <x:v>-0.03765315650069556</x:v>
      </x:c>
      <x:c r="R55" s="45" t="n">
        <x:f>IFERROR(G55/G54-1,"")</x:f>
        <x:v>-0.014691574236232685</x:v>
      </x:c>
      <x:c r="S55" s="45" t="n">
        <x:f>IFERROR(I55/I54-1,"")</x:f>
        <x:v>-0.11777368733035909</x:v>
      </x:c>
      <x:c r="T55" s="45" t="n">
        <x:f>IFERROR(K55-K54,"")</x:f>
        <x:v>0.004672972744473564</x:v>
      </x:c>
      <x:c r="U55" s="73"/>
      <x:c r="V55" s="73"/>
      <x:c r="W55" s="73"/>
      <x:c r="X55" s="73"/>
      <x:c r="Y55" s="73"/>
      <x:c r="Z55" s="73"/>
      <x:c r="AA55" s="73"/>
    </x:row>
    <x:row r="56">
      <x:c r="A56" s="38" t="str">
        <x:f>'Raw_Data'!A56</x:f>
        <x:v>United Utilities</x:v>
      </x:c>
      <x:c r="B56" s="38" t="str">
        <x:f>'Raw_Data'!B56</x:f>
        <x:v>UU</x:v>
      </x:c>
      <x:c r="C56" s="38" t="str">
        <x:f>'Raw_Data'!C56</x:f>
        <x:v>Utilities</x:v>
      </x:c>
      <x:c r="D56" s="38" t="str">
        <x:f>'Raw_Data'!D56</x:f>
        <x:v>GBP</x:v>
      </x:c>
      <x:c r="E56" s="38" t="n">
        <x:f>'Raw_Data'!E56</x:f>
        <x:v>2023</x:v>
      </x:c>
      <x:c r="F56" s="42" t="n">
        <x:f>'Raw_Data'!F56</x:f>
        <x:v>1804</x:v>
      </x:c>
      <x:c r="G56" s="42" t="n">
        <x:f>'Raw_Data'!G56</x:f>
        <x:v>440.8</x:v>
      </x:c>
      <x:c r="H56" s="42" t="n">
        <x:f>'Raw_Data'!H56</x:f>
        <x:v>262.7</x:v>
      </x:c>
      <x:c r="I56" s="42" t="n">
        <x:f>'Raw_Data'!I56</x:f>
        <x:v>8435.4</x:v>
      </x:c>
      <x:c r="J56" s="44" t="n">
        <x:f>'Raw_Data'!J56</x:f>
        <x:v>0.0619</x:v>
      </x:c>
      <x:c r="K56" s="45" t="n">
        <x:f>IFERROR(G56/F56,"")</x:f>
        <x:v>0.2443458980044346</x:v>
      </x:c>
      <x:c r="L56" s="48" t="n">
        <x:f>IFERROR(G56/ABS(H56),"")</x:f>
        <x:v>1.6779596497906357</x:v>
      </x:c>
      <x:c r="M56" s="48" t="n">
        <x:f>IFERROR(I56/F56,"")</x:f>
        <x:v>4.675942350332594</x:v>
      </x:c>
      <x:c r="N56" s="48" t="n">
        <x:f>IF(G56&lt;=0,"",I56/G56)</x:f>
        <x:v>19.136569872958255</x:v>
      </x:c>
      <x:c r="O56" s="50" t="n">
        <x:f>F56*J56</x:f>
        <x:v>111.6676</x:v>
      </x:c>
      <x:c r="P56" s="45" t="n">
        <x:f>IFERROR(O56/I56,"")</x:f>
        <x:v>0.013237973302985038</x:v>
      </x:c>
      <x:c r="Q56" s="45" t="str"/>
      <x:c r="R56" s="45" t="str"/>
      <x:c r="S56" s="45" t="str"/>
      <x:c r="T56" s="45" t="str"/>
      <x:c r="U56" s="73"/>
      <x:c r="V56" s="73"/>
      <x:c r="W56" s="73"/>
      <x:c r="X56" s="73"/>
      <x:c r="Y56" s="73"/>
      <x:c r="Z56" s="73"/>
      <x:c r="AA56" s="73"/>
    </x:row>
    <x:row r="57">
      <x:c r="A57" s="38" t="str">
        <x:f>'Raw_Data'!A57</x:f>
        <x:v>United Utilities</x:v>
      </x:c>
      <x:c r="B57" s="38" t="str">
        <x:f>'Raw_Data'!B57</x:f>
        <x:v>UU</x:v>
      </x:c>
      <x:c r="C57" s="38" t="str">
        <x:f>'Raw_Data'!C57</x:f>
        <x:v>Utilities</x:v>
      </x:c>
      <x:c r="D57" s="38" t="str">
        <x:f>'Raw_Data'!D57</x:f>
        <x:v>GBP</x:v>
      </x:c>
      <x:c r="E57" s="38" t="n">
        <x:f>'Raw_Data'!E57</x:f>
        <x:v>2024</x:v>
      </x:c>
      <x:c r="F57" s="42" t="n">
        <x:f>'Raw_Data'!F57</x:f>
        <x:v>1950</x:v>
      </x:c>
      <x:c r="G57" s="42" t="n">
        <x:f>'Raw_Data'!G57</x:f>
        <x:v>480.2</x:v>
      </x:c>
      <x:c r="H57" s="42" t="n">
        <x:f>'Raw_Data'!H57</x:f>
        <x:v>389.3</x:v>
      </x:c>
      <x:c r="I57" s="42" t="n">
        <x:f>'Raw_Data'!I57</x:f>
        <x:v>10001.6</x:v>
      </x:c>
      <x:c r="J57" s="44" t="n">
        <x:f>'Raw_Data'!J57</x:f>
        <x:v>-0.0023</x:v>
      </x:c>
      <x:c r="K57" s="45" t="n">
        <x:f>IFERROR(G57/F57,"")</x:f>
        <x:v>0.24625641025641026</x:v>
      </x:c>
      <x:c r="L57" s="48" t="n">
        <x:f>IFERROR(G57/ABS(H57),"")</x:f>
        <x:v>1.2334960184947341</x:v>
      </x:c>
      <x:c r="M57" s="48" t="n">
        <x:f>IFERROR(I57/F57,"")</x:f>
        <x:v>5.129025641025641</x:v>
      </x:c>
      <x:c r="N57" s="48" t="n">
        <x:f>IF(G57&lt;=0,"",I57/G57)</x:f>
        <x:v>20.82798833819242</x:v>
      </x:c>
      <x:c r="O57" s="50" t="n">
        <x:f>F57*J57</x:f>
        <x:v>-4.485</x:v>
      </x:c>
      <x:c r="P57" s="45" t="n">
        <x:f>IFERROR(O57/I57,"")</x:f>
        <x:v>-0.00044842825147976324</x:v>
      </x:c>
      <x:c r="Q57" s="45" t="n">
        <x:f>IFERROR(F57/F56-1,"")</x:f>
        <x:v>0.08093126385809302</x:v>
      </x:c>
      <x:c r="R57" s="45" t="n">
        <x:f>IFERROR(G57/G56-1,"")</x:f>
        <x:v>0.0893829401088928</x:v>
      </x:c>
      <x:c r="S57" s="45" t="n">
        <x:f>IFERROR(I57/I56-1,"")</x:f>
        <x:v>0.18566991488251894</x:v>
      </x:c>
      <x:c r="T57" s="45" t="n">
        <x:f>IFERROR(K57-K56,"")</x:f>
        <x:v>0.0019105122519756657</x:v>
      </x:c>
      <x:c r="U57" s="73"/>
      <x:c r="V57" s="73"/>
      <x:c r="W57" s="73"/>
      <x:c r="X57" s="73"/>
      <x:c r="Y57" s="73"/>
      <x:c r="Z57" s="73"/>
      <x:c r="AA57" s="73"/>
    </x:row>
    <x:row r="58">
      <x:c r="A58" s="38" t="str">
        <x:f>'Raw_Data'!A58</x:f>
        <x:v>United Utilities</x:v>
      </x:c>
      <x:c r="B58" s="38" t="str">
        <x:f>'Raw_Data'!B58</x:f>
        <x:v>UU</x:v>
      </x:c>
      <x:c r="C58" s="38" t="str">
        <x:f>'Raw_Data'!C58</x:f>
        <x:v>Utilities</x:v>
      </x:c>
      <x:c r="D58" s="38" t="str">
        <x:f>'Raw_Data'!D58</x:f>
        <x:v>GBP</x:v>
      </x:c>
      <x:c r="E58" s="38" t="n">
        <x:f>'Raw_Data'!E58</x:f>
        <x:v>2025</x:v>
      </x:c>
      <x:c r="F58" s="42" t="n">
        <x:f>'Raw_Data'!F58</x:f>
        <x:v>2145</x:v>
      </x:c>
      <x:c r="G58" s="42" t="n">
        <x:f>'Raw_Data'!G58</x:f>
        <x:v>631.5</x:v>
      </x:c>
      <x:c r="H58" s="42" t="n">
        <x:f>'Raw_Data'!H58</x:f>
        <x:v>371.9</x:v>
      </x:c>
      <x:c r="I58" s="42" t="n">
        <x:f>'Raw_Data'!I58</x:f>
        <x:v>10789.1</x:v>
      </x:c>
      <x:c r="J58" s="44" t="n">
        <x:f>'Raw_Data'!J58</x:f>
        <x:v>-0.0328</x:v>
      </x:c>
      <x:c r="K58" s="45" t="n">
        <x:f>IFERROR(G58/F58,"")</x:f>
        <x:v>0.2944055944055944</x:v>
      </x:c>
      <x:c r="L58" s="48" t="n">
        <x:f>IFERROR(G58/ABS(H58),"")</x:f>
        <x:v>1.6980371067491262</x:v>
      </x:c>
      <x:c r="M58" s="48" t="n">
        <x:f>IFERROR(I58/F58,"")</x:f>
        <x:v>5.02988344988345</x:v>
      </x:c>
      <x:c r="N58" s="48" t="n">
        <x:f>IF(G58&lt;=0,"",I58/G58)</x:f>
        <x:v>17.084877276326207</x:v>
      </x:c>
      <x:c r="O58" s="50" t="n">
        <x:f>F58*J58</x:f>
        <x:v>-70.35600000000001</x:v>
      </x:c>
      <x:c r="P58" s="45" t="n">
        <x:f>IFERROR(O58/I58,"")</x:f>
        <x:v>-0.006521025850163592</x:v>
      </x:c>
      <x:c r="Q58" s="45" t="n">
        <x:f>IFERROR(F58/F57-1,"")</x:f>
        <x:v>0.10000000000000009</x:v>
      </x:c>
      <x:c r="R58" s="45" t="n">
        <x:f>IFERROR(G58/G57-1,"")</x:f>
        <x:v>0.3150770512286547</x:v>
      </x:c>
      <x:c r="S58" s="45" t="n">
        <x:f>IFERROR(I58/I57-1,"")</x:f>
        <x:v>0.07873740201567747</x:v>
      </x:c>
      <x:c r="T58" s="45" t="n">
        <x:f>IFERROR(K58-K57,"")</x:f>
        <x:v>0.04814918414918412</x:v>
      </x:c>
      <x:c r="U58" s="73"/>
      <x:c r="V58" s="73"/>
      <x:c r="W58" s="73"/>
      <x:c r="X58" s="73"/>
      <x:c r="Y58" s="73"/>
      <x:c r="Z58" s="73"/>
      <x:c r="AA58" s="73"/>
    </x:row>
    <x:row r="59">
      <x:c r="A59" s="38" t="str">
        <x:f>'Raw_Data'!A59</x:f>
        <x:v>United Utilities</x:v>
      </x:c>
      <x:c r="B59" s="38" t="str">
        <x:f>'Raw_Data'!B59</x:f>
        <x:v>UU</x:v>
      </x:c>
      <x:c r="C59" s="38" t="str">
        <x:f>'Raw_Data'!C59</x:f>
        <x:v>Utilities</x:v>
      </x:c>
      <x:c r="D59" s="38" t="str">
        <x:f>'Raw_Data'!D59</x:f>
        <x:v>GBP</x:v>
      </x:c>
      <x:c r="E59" s="38" t="n">
        <x:f>'Raw_Data'!E59</x:f>
        <x:v>2026</x:v>
      </x:c>
      <x:c r="F59" s="42" t="n">
        <x:f>'Raw_Data'!F59</x:f>
        <x:v>2616</x:v>
      </x:c>
      <x:c r="G59" s="42" t="n">
        <x:f>'Raw_Data'!G59</x:f>
        <x:v>1099</x:v>
      </x:c>
      <x:c r="H59" s="42" t="n">
        <x:f>'Raw_Data'!H59</x:f>
        <x:v>415.7</x:v>
      </x:c>
      <x:c r="I59" s="42" t="n">
        <x:f>'Raw_Data'!I59</x:f>
        <x:v>11490.9</x:v>
      </x:c>
      <x:c r="J59" s="44" t="n">
        <x:f>'Raw_Data'!J59</x:f>
        <x:v>-0.042</x:v>
      </x:c>
      <x:c r="K59" s="45" t="n">
        <x:f>IFERROR(G59/F59,"")</x:f>
        <x:v>0.42010703363914376</x:v>
      </x:c>
      <x:c r="L59" s="48" t="n">
        <x:f>IFERROR(G59/ABS(H59),"")</x:f>
        <x:v>2.6437334616309838</x:v>
      </x:c>
      <x:c r="M59" s="48" t="n">
        <x:f>IFERROR(I59/F59,"")</x:f>
        <x:v>4.392545871559633</x:v>
      </x:c>
      <x:c r="N59" s="48" t="n">
        <x:f>IF(G59&lt;=0,"",I59/G59)</x:f>
        <x:v>10.455777979981802</x:v>
      </x:c>
      <x:c r="O59" s="50" t="n">
        <x:f>F59*J59</x:f>
        <x:v>-109.872</x:v>
      </x:c>
      <x:c r="P59" s="45" t="n">
        <x:f>IFERROR(O59/I59,"")</x:f>
        <x:v>-0.009561653134219252</x:v>
      </x:c>
      <x:c r="Q59" s="45" t="n">
        <x:f>IFERROR(F59/F58-1,"")</x:f>
        <x:v>0.21958041958041963</x:v>
      </x:c>
      <x:c r="R59" s="45" t="n">
        <x:f>IFERROR(G59/G58-1,"")</x:f>
        <x:v>0.7403008709422012</x:v>
      </x:c>
      <x:c r="S59" s="45" t="n">
        <x:f>IFERROR(I59/I58-1,"")</x:f>
        <x:v>0.06504713090063108</x:v>
      </x:c>
      <x:c r="T59" s="45" t="n">
        <x:f>IFERROR(K59-K58,"")</x:f>
        <x:v>0.12570143923354937</x:v>
      </x:c>
      <x:c r="U59" s="73"/>
      <x:c r="V59" s="73"/>
      <x:c r="W59" s="73"/>
      <x:c r="X59" s="73"/>
      <x:c r="Y59" s="73"/>
      <x:c r="Z59" s="73"/>
      <x:c r="AA59" s="73"/>
    </x:row>
    <x:row r="60">
      <x:c r="A60" s="38" t="str">
        <x:f>'Raw_Data'!A60</x:f>
        <x:v>Vodafone</x:v>
      </x:c>
      <x:c r="B60" s="38" t="str">
        <x:f>'Raw_Data'!B60</x:f>
        <x:v>VOD</x:v>
      </x:c>
      <x:c r="C60" s="38" t="str">
        <x:f>'Raw_Data'!C60</x:f>
        <x:v>Telecom</x:v>
      </x:c>
      <x:c r="D60" s="38" t="str">
        <x:f>'Raw_Data'!D60</x:f>
        <x:v>EUR</x:v>
      </x:c>
      <x:c r="E60" s="38" t="n">
        <x:f>'Raw_Data'!E60</x:f>
        <x:v>2023</x:v>
      </x:c>
      <x:c r="F60" s="42" t="n">
        <x:f>'Raw_Data'!F60</x:f>
        <x:v>37672</x:v>
      </x:c>
      <x:c r="G60" s="42" t="n">
        <x:f>'Raw_Data'!G60</x:f>
        <x:v>4535</x:v>
      </x:c>
      <x:c r="H60" s="42" t="n">
        <x:f>'Raw_Data'!H60</x:f>
        <x:v>1897</x:v>
      </x:c>
      <x:c r="I60" s="42" t="n">
        <x:f>'Raw_Data'!I60</x:f>
        <x:v>66875</x:v>
      </x:c>
      <x:c r="J60" s="44" t="n">
        <x:f>'Raw_Data'!J60</x:f>
        <x:v>0.3477</x:v>
      </x:c>
      <x:c r="K60" s="45" t="n">
        <x:f>IFERROR(G60/F60,"")</x:f>
        <x:v>0.12038118496496071</x:v>
      </x:c>
      <x:c r="L60" s="48" t="n">
        <x:f>IFERROR(G60/ABS(H60),"")</x:f>
        <x:v>2.3906167633104904</x:v>
      </x:c>
      <x:c r="M60" s="48" t="n">
        <x:f>IFERROR(I60/F60,"")</x:f>
        <x:v>1.7751911233807602</x:v>
      </x:c>
      <x:c r="N60" s="48" t="n">
        <x:f>IF(G60&lt;=0,"",I60/G60)</x:f>
        <x:v>14.746416758544653</x:v>
      </x:c>
      <x:c r="O60" s="50" t="n">
        <x:f>F60*J60</x:f>
        <x:v>13098.5544</x:v>
      </x:c>
      <x:c r="P60" s="45" t="n">
        <x:f>IFERROR(O60/I60,"")</x:f>
        <x:v>0.1958662340186916</x:v>
      </x:c>
      <x:c r="Q60" s="45" t="str"/>
      <x:c r="R60" s="45" t="str"/>
      <x:c r="S60" s="45" t="str"/>
      <x:c r="T60" s="45" t="str"/>
      <x:c r="U60" s="73"/>
      <x:c r="V60" s="73"/>
      <x:c r="W60" s="73"/>
      <x:c r="X60" s="73"/>
      <x:c r="Y60" s="73"/>
      <x:c r="Z60" s="73"/>
      <x:c r="AA60" s="73"/>
    </x:row>
    <x:row r="61">
      <x:c r="A61" s="38" t="str">
        <x:f>'Raw_Data'!A61</x:f>
        <x:v>Vodafone</x:v>
      </x:c>
      <x:c r="B61" s="38" t="str">
        <x:f>'Raw_Data'!B61</x:f>
        <x:v>VOD</x:v>
      </x:c>
      <x:c r="C61" s="38" t="str">
        <x:f>'Raw_Data'!C61</x:f>
        <x:v>Telecom</x:v>
      </x:c>
      <x:c r="D61" s="38" t="str">
        <x:f>'Raw_Data'!D61</x:f>
        <x:v>EUR</x:v>
      </x:c>
      <x:c r="E61" s="38" t="n">
        <x:f>'Raw_Data'!E61</x:f>
        <x:v>2024</x:v>
      </x:c>
      <x:c r="F61" s="42" t="n">
        <x:f>'Raw_Data'!F61</x:f>
        <x:v>36717</x:v>
      </x:c>
      <x:c r="G61" s="42" t="n">
        <x:f>'Raw_Data'!G61</x:f>
        <x:v>3337</x:v>
      </x:c>
      <x:c r="H61" s="42" t="n">
        <x:f>'Raw_Data'!H61</x:f>
        <x:v>2353</x:v>
      </x:c>
      <x:c r="I61" s="42" t="n">
        <x:f>'Raw_Data'!I61</x:f>
        <x:v>58511</x:v>
      </x:c>
      <x:c r="J61" s="44" t="n">
        <x:f>'Raw_Data'!J61</x:f>
        <x:v>0.336</x:v>
      </x:c>
      <x:c r="K61" s="45" t="n">
        <x:f>IFERROR(G61/F61,"")</x:f>
        <x:v>0.09088433150856551</x:v>
      </x:c>
      <x:c r="L61" s="48" t="n">
        <x:f>IFERROR(G61/ABS(H61),"")</x:f>
        <x:v>1.4181895452613684</x:v>
      </x:c>
      <x:c r="M61" s="48" t="n">
        <x:f>IFERROR(I61/F61,"")</x:f>
        <x:v>1.593567012555492</x:v>
      </x:c>
      <x:c r="N61" s="48" t="n">
        <x:f>IF(G61&lt;=0,"",I61/G61)</x:f>
        <x:v>17.534012586155228</x:v>
      </x:c>
      <x:c r="O61" s="50" t="n">
        <x:f>F61*J61</x:f>
        <x:v>12336.912</x:v>
      </x:c>
      <x:c r="P61" s="45" t="n">
        <x:f>IFERROR(O61/I61,"")</x:f>
        <x:v>0.2108477380321649</x:v>
      </x:c>
      <x:c r="Q61" s="45" t="n">
        <x:f>IFERROR(F61/F60-1,"")</x:f>
        <x:v>-0.025350392864727067</x:v>
      </x:c>
      <x:c r="R61" s="45" t="n">
        <x:f>IFERROR(G61/G60-1,"")</x:f>
        <x:v>-0.26416758544652696</x:v>
      </x:c>
      <x:c r="S61" s="45" t="n">
        <x:f>IFERROR(I61/I60-1,"")</x:f>
        <x:v>-0.12506915887850467</x:v>
      </x:c>
      <x:c r="T61" s="45" t="n">
        <x:f>IFERROR(K61-K60,"")</x:f>
        <x:v>-0.029496853456395203</x:v>
      </x:c>
      <x:c r="U61" s="73"/>
      <x:c r="V61" s="73"/>
      <x:c r="W61" s="73"/>
      <x:c r="X61" s="73"/>
      <x:c r="Y61" s="73"/>
      <x:c r="Z61" s="73"/>
      <x:c r="AA61" s="73"/>
    </x:row>
    <x:row r="62">
      <x:c r="A62" s="38" t="str">
        <x:f>'Raw_Data'!A62</x:f>
        <x:v>Vodafone</x:v>
      </x:c>
      <x:c r="B62" s="38" t="str">
        <x:f>'Raw_Data'!B62</x:f>
        <x:v>VOD</x:v>
      </x:c>
      <x:c r="C62" s="38" t="str">
        <x:f>'Raw_Data'!C62</x:f>
        <x:v>Telecom</x:v>
      </x:c>
      <x:c r="D62" s="38" t="str">
        <x:f>'Raw_Data'!D62</x:f>
        <x:v>EUR</x:v>
      </x:c>
      <x:c r="E62" s="38" t="n">
        <x:f>'Raw_Data'!E62</x:f>
        <x:v>2025</x:v>
      </x:c>
      <x:c r="F62" s="42" t="n">
        <x:f>'Raw_Data'!F62</x:f>
        <x:v>37448</x:v>
      </x:c>
      <x:c r="G62" s="42" t="n">
        <x:f>'Raw_Data'!G62</x:f>
        <x:v>3375</x:v>
      </x:c>
      <x:c r="H62" s="42" t="n">
        <x:f>'Raw_Data'!H62</x:f>
        <x:v>1932</x:v>
      </x:c>
      <x:c r="I62" s="42" t="n">
        <x:f>'Raw_Data'!I62</x:f>
        <x:v>55049</x:v>
      </x:c>
      <x:c r="J62" s="44" t="n">
        <x:f>'Raw_Data'!J62</x:f>
        <x:v>0.295</x:v>
      </x:c>
      <x:c r="K62" s="45" t="n">
        <x:f>IFERROR(G62/F62,"")</x:f>
        <x:v>0.09012497329630421</x:v>
      </x:c>
      <x:c r="L62" s="48" t="n">
        <x:f>IFERROR(G62/ABS(H62),"")</x:f>
        <x:v>1.7468944099378882</x:v>
      </x:c>
      <x:c r="M62" s="48" t="n">
        <x:f>IFERROR(I62/F62,"")</x:f>
        <x:v>1.4700117496261482</x:v>
      </x:c>
      <x:c r="N62" s="48" t="n">
        <x:f>IF(G62&lt;=0,"",I62/G62)</x:f>
        <x:v>16.310814814814815</x:v>
      </x:c>
      <x:c r="O62" s="50" t="n">
        <x:f>F62*J62</x:f>
        <x:v>11047.16</x:v>
      </x:c>
      <x:c r="P62" s="45" t="n">
        <x:f>IFERROR(O62/I62,"")</x:f>
        <x:v>0.20067866809569657</x:v>
      </x:c>
      <x:c r="Q62" s="45" t="n">
        <x:f>IFERROR(F62/F61-1,"")</x:f>
        <x:v>0.01990903396246968</x:v>
      </x:c>
      <x:c r="R62" s="45" t="n">
        <x:f>IFERROR(G62/G61-1,"")</x:f>
        <x:v>0.011387473778843304</x:v>
      </x:c>
      <x:c r="S62" s="45" t="n">
        <x:f>IFERROR(I62/I61-1,"")</x:f>
        <x:v>-0.059168361504674305</x:v>
      </x:c>
      <x:c r="T62" s="45" t="n">
        <x:f>IFERROR(K62-K61,"")</x:f>
        <x:v>-0.0007593582122612935</x:v>
      </x:c>
      <x:c r="U62" s="73"/>
      <x:c r="V62" s="73"/>
      <x:c r="W62" s="73"/>
      <x:c r="X62" s="73"/>
      <x:c r="Y62" s="73"/>
      <x:c r="Z62" s="73"/>
      <x:c r="AA62" s="73"/>
    </x:row>
    <x:row r="63">
      <x:c r="A63" s="38" t="str">
        <x:f>'Raw_Data'!A63</x:f>
        <x:v>Vodafone</x:v>
      </x:c>
      <x:c r="B63" s="38" t="str">
        <x:f>'Raw_Data'!B63</x:f>
        <x:v>VOD</x:v>
      </x:c>
      <x:c r="C63" s="38" t="str">
        <x:f>'Raw_Data'!C63</x:f>
        <x:v>Telecom</x:v>
      </x:c>
      <x:c r="D63" s="38" t="str">
        <x:f>'Raw_Data'!D63</x:f>
        <x:v>EUR</x:v>
      </x:c>
      <x:c r="E63" s="38" t="n">
        <x:f>'Raw_Data'!E63</x:f>
        <x:v>2026</x:v>
      </x:c>
      <x:c r="F63" s="42" t="n">
        <x:f>'Raw_Data'!F63</x:f>
        <x:v>40461</x:v>
      </x:c>
      <x:c r="G63" s="42" t="n">
        <x:f>'Raw_Data'!G63</x:f>
        <x:v>3149</x:v>
      </x:c>
      <x:c r="H63" s="42" t="n">
        <x:f>'Raw_Data'!H63</x:f>
        <x:v>2214</x:v>
      </x:c>
      <x:c r="I63" s="42" t="n">
        <x:f>'Raw_Data'!I63</x:f>
        <x:v>54448</x:v>
      </x:c>
      <x:c r="J63" s="44" t="n">
        <x:f>'Raw_Data'!J63</x:f>
        <x:v>0.2328</x:v>
      </x:c>
      <x:c r="K63" s="45" t="n">
        <x:f>IFERROR(G63/F63,"")</x:f>
        <x:v>0.07782803193198388</x:v>
      </x:c>
      <x:c r="L63" s="48" t="n">
        <x:f>IFERROR(G63/ABS(H63),"")</x:f>
        <x:v>1.4223125564588979</x:v>
      </x:c>
      <x:c r="M63" s="48" t="n">
        <x:f>IFERROR(I63/F63,"")</x:f>
        <x:v>1.3456909122364746</x:v>
      </x:c>
      <x:c r="N63" s="48" t="n">
        <x:f>IF(G63&lt;=0,"",I63/G63)</x:f>
        <x:v>17.290568434423626</x:v>
      </x:c>
      <x:c r="O63" s="50" t="n">
        <x:f>F63*J63</x:f>
        <x:v>9419.3208</x:v>
      </x:c>
      <x:c r="P63" s="45" t="n">
        <x:f>IFERROR(O63/I63,"")</x:f>
        <x:v>0.1729966353217749</x:v>
      </x:c>
      <x:c r="Q63" s="45" t="n">
        <x:f>IFERROR(F63/F62-1,"")</x:f>
        <x:v>0.08045823541978203</x:v>
      </x:c>
      <x:c r="R63" s="45" t="n">
        <x:f>IFERROR(G63/G62-1,"")</x:f>
        <x:v>-0.066962962962963</x:v>
      </x:c>
      <x:c r="S63" s="45" t="n">
        <x:f>IFERROR(I63/I62-1,"")</x:f>
        <x:v>-0.01091754618612506</x:v>
      </x:c>
      <x:c r="T63" s="45" t="n">
        <x:f>IFERROR(K63-K62,"")</x:f>
        <x:v>-0.01229694136432033</x:v>
      </x:c>
      <x:c r="U63" s="73"/>
      <x:c r="V63" s="73"/>
      <x:c r="W63" s="73"/>
      <x:c r="X63" s="73"/>
      <x:c r="Y63" s="73"/>
      <x:c r="Z63" s="73"/>
      <x:c r="AA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  <x:c r="AA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  <x:c r="AA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  <x:c r="AA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  <x:c r="AA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  <x:c r="AA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  <x:c r="AA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  <x:c r="AA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  <x:c r="AA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  <x:c r="AA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  <x:c r="AA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  <x:c r="AA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  <x:c r="AA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  <x:c r="AA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  <x:c r="AA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  <x:c r="AA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  <x:c r="AA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  <x:c r="AA80" s="73"/>
    </x:row>
  </x:sheetData>
  <x:mergeCells>
    <x:mergeCell ref="A1:T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23" hidden="0" customWidth="1"/>
    <x:col min="4" max="4" width="9" hidden="0" customWidth="1"/>
    <x:col min="5" max="5" width="7" hidden="0" customWidth="1"/>
    <x:col min="6" max="6" width="13" hidden="0" customWidth="1"/>
    <x:col min="7" max="7" width="13" hidden="0" customWidth="1"/>
    <x:col min="8" max="8" width="17" hidden="0" customWidth="1"/>
    <x:col min="9" max="9" width="14" hidden="0" customWidth="1"/>
    <x:col min="10" max="10" width="11" hidden="0" customWidth="1"/>
    <x:col min="11" max="11" width="12" hidden="0" customWidth="1"/>
    <x:col min="12" max="12" width="16" hidden="0" customWidth="1"/>
    <x:col min="13" max="13" width="14" hidden="0" customWidth="1"/>
    <x:col min="14" max="14" width="13" hidden="0" customWidth="1"/>
    <x:col min="15" max="15" width="12" hidden="0" customWidth="1"/>
    <x:col min="16" max="16" width="17" hidden="0" customWidth="1"/>
  </x:cols>
  <x:sheetData>
    <x:row r="1">
      <x:c r="A1" s="82" t="str">
        <x:v>Latest Snapshot — One Row per Company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3"/>
      <x:c r="R1" s="73"/>
      <x:c r="S1" s="73"/>
      <x:c r="T1" s="73"/>
      <x:c r="U1" s="73"/>
      <x:c r="V1" s="73"/>
      <x:c r="W1" s="73"/>
      <x:c r="X1" s="73"/>
      <x:c r="Y1" s="73"/>
      <x:c r="Z1" s="73"/>
      <x:c r="AA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  <x:c r="AA2" s="73"/>
    </x:row>
    <x:row r="3">
      <x:c r="A3" s="74" t="str">
        <x:v>Company</x:v>
      </x:c>
      <x:c r="B3" s="74" t="str">
        <x:v>Ticker</x:v>
      </x:c>
      <x:c r="C3" s="74" t="str">
        <x:v>Sector</x:v>
      </x:c>
      <x:c r="D3" s="74" t="str">
        <x:v>Currency</x:v>
      </x:c>
      <x:c r="E3" s="74" t="str">
        <x:v>FY</x:v>
      </x:c>
      <x:c r="F3" s="74" t="str">
        <x:v>Revenue (m)</x:v>
      </x:c>
      <x:c r="G3" s="74" t="str">
        <x:v>EBIT (m)</x:v>
      </x:c>
      <x:c r="H3" s="74" t="str">
        <x:v>Interest Expense (m)</x:v>
      </x:c>
      <x:c r="I3" s="74" t="str">
        <x:v>Total Debt (m)</x:v>
      </x:c>
      <x:c r="J3" s="74" t="str">
        <x:v>FCF Margin</x:v>
      </x:c>
      <x:c r="K3" s="74" t="str">
        <x:v>EBIT Margin</x:v>
      </x:c>
      <x:c r="L3" s="74" t="str">
        <x:v>Interest Coverage</x:v>
      </x:c>
      <x:c r="M3" s="74" t="str">
        <x:v>Debt / Revenue</x:v>
      </x:c>
      <x:c r="N3" s="74" t="str">
        <x:v>Debt / EBIT</x:v>
      </x:c>
      <x:c r="O3" s="74" t="str">
        <x:v>Debt Growth</x:v>
      </x:c>
      <x:c r="P3" s="74" t="str">
        <x:v>EBIT Margin Change</x:v>
      </x:c>
      <x:c r="Q3" s="73"/>
      <x:c r="R3" s="73"/>
      <x:c r="S3" s="73"/>
      <x:c r="T3" s="73"/>
      <x:c r="U3" s="73"/>
      <x:c r="V3" s="73"/>
      <x:c r="W3" s="73"/>
      <x:c r="X3" s="73"/>
      <x:c r="Y3" s="73"/>
      <x:c r="Z3" s="73"/>
      <x:c r="AA3" s="73"/>
    </x:row>
    <x:row r="4">
      <x:c r="A4" s="38" t="str">
        <x:f>'Metrics'!A7</x:f>
        <x:v>AstraZeneca</x:v>
      </x:c>
      <x:c r="B4" s="38" t="str">
        <x:f>'Metrics'!B7</x:f>
        <x:v>AZN</x:v>
      </x:c>
      <x:c r="C4" s="38" t="str">
        <x:f>'Metrics'!C7</x:f>
        <x:v>Healthcare</x:v>
      </x:c>
      <x:c r="D4" s="38" t="str">
        <x:f>'Metrics'!D7</x:f>
        <x:v>USD</x:v>
      </x:c>
      <x:c r="E4" s="38" t="n">
        <x:f>'Metrics'!E7</x:f>
        <x:v>2025</x:v>
      </x:c>
      <x:c r="F4" s="42" t="n">
        <x:f>'Metrics'!F7</x:f>
        <x:v>58739</x:v>
      </x:c>
      <x:c r="G4" s="42" t="n">
        <x:f>'Metrics'!G7</x:f>
        <x:v>14292</x:v>
      </x:c>
      <x:c r="H4" s="42" t="n">
        <x:f>'Metrics'!H7</x:f>
        <x:v>1365</x:v>
      </x:c>
      <x:c r="I4" s="42" t="n">
        <x:f>'Metrics'!I7</x:f>
        <x:v>29703</x:v>
      </x:c>
      <x:c r="J4" s="44" t="n">
        <x:f>'Metrics'!J7</x:f>
        <x:v>0.2003</x:v>
      </x:c>
      <x:c r="K4" s="44" t="n">
        <x:f>'Metrics'!K7</x:f>
        <x:v>0.2433136417031274</x:v>
      </x:c>
      <x:c r="L4" s="52" t="n">
        <x:f>'Metrics'!L7</x:f>
        <x:v>10.47032967032967</x:v>
      </x:c>
      <x:c r="M4" s="52" t="n">
        <x:f>'Metrics'!M7</x:f>
        <x:v>0.5056776587956894</x:v>
      </x:c>
      <x:c r="N4" s="52" t="n">
        <x:f>'Metrics'!N7</x:f>
        <x:v>2.0782955499580185</x:v>
      </x:c>
      <x:c r="O4" s="44" t="n">
        <x:f>'Metrics'!S7</x:f>
        <x:v>-0.024852265265922546</x:v>
      </x:c>
      <x:c r="P4" s="44" t="n">
        <x:f>'Metrics'!T7</x:f>
        <x:v>0.004210947197551579</x:v>
      </x:c>
      <x:c r="Q4" s="73"/>
      <x:c r="R4" s="73"/>
      <x:c r="S4" s="73"/>
      <x:c r="T4" s="73"/>
      <x:c r="U4" s="73"/>
      <x:c r="V4" s="73"/>
      <x:c r="W4" s="73"/>
      <x:c r="X4" s="73"/>
      <x:c r="Y4" s="73"/>
      <x:c r="Z4" s="73"/>
      <x:c r="AA4" s="73"/>
    </x:row>
    <x:row r="5">
      <x:c r="A5" s="38" t="str">
        <x:f>'Metrics'!A11</x:f>
        <x:v>BT Group</x:v>
      </x:c>
      <x:c r="B5" s="38" t="str">
        <x:f>'Metrics'!B11</x:f>
        <x:v>BT.A</x:v>
      </x:c>
      <x:c r="C5" s="38" t="str">
        <x:f>'Metrics'!C11</x:f>
        <x:v>Telecom</x:v>
      </x:c>
      <x:c r="D5" s="38" t="str">
        <x:f>'Metrics'!D11</x:f>
        <x:v>GBP</x:v>
      </x:c>
      <x:c r="E5" s="38" t="n">
        <x:f>'Metrics'!E11</x:f>
        <x:v>2026</x:v>
      </x:c>
      <x:c r="F5" s="42" t="n">
        <x:f>'Metrics'!F11</x:f>
        <x:v>19654</x:v>
      </x:c>
      <x:c r="G5" s="42" t="n">
        <x:f>'Metrics'!G11</x:f>
        <x:v>2897</x:v>
      </x:c>
      <x:c r="H5" s="42" t="n">
        <x:f>'Metrics'!H11</x:f>
        <x:v>1397</x:v>
      </x:c>
      <x:c r="I5" s="42" t="n">
        <x:f>'Metrics'!I11</x:f>
        <x:v>22720</x:v>
      </x:c>
      <x:c r="J5" s="44" t="n">
        <x:f>'Metrics'!J11</x:f>
        <x:v>0.0947</x:v>
      </x:c>
      <x:c r="K5" s="44" t="n">
        <x:f>'Metrics'!K11</x:f>
        <x:v>0.14740002035209118</x:v>
      </x:c>
      <x:c r="L5" s="52" t="n">
        <x:f>'Metrics'!L11</x:f>
        <x:v>2.073729420186113</x:v>
      </x:c>
      <x:c r="M5" s="52" t="n">
        <x:f>'Metrics'!M11</x:f>
        <x:v>1.1559987788745294</x:v>
      </x:c>
      <x:c r="N5" s="52" t="n">
        <x:f>'Metrics'!N11</x:f>
        <x:v>7.84259578874698</x:v>
      </x:c>
      <x:c r="O5" s="44" t="n">
        <x:f>'Metrics'!S11</x:f>
        <x:v>-0.026271803882912614</x:v>
      </x:c>
      <x:c r="P5" s="44" t="n">
        <x:f>'Metrics'!T11</x:f>
        <x:v>0.024991139322520492</x:v>
      </x:c>
      <x:c r="Q5" s="73"/>
      <x:c r="R5" s="73"/>
      <x:c r="S5" s="73"/>
      <x:c r="T5" s="73"/>
      <x:c r="U5" s="73"/>
      <x:c r="V5" s="73"/>
      <x:c r="W5" s="73"/>
      <x:c r="X5" s="73"/>
      <x:c r="Y5" s="73"/>
      <x:c r="Z5" s="73"/>
      <x:c r="AA5" s="73"/>
    </x:row>
    <x:row r="6">
      <x:c r="A6" s="38" t="str">
        <x:f>'Metrics'!A15</x:f>
        <x:v>Compass Group</x:v>
      </x:c>
      <x:c r="B6" s="38" t="str">
        <x:f>'Metrics'!B15</x:f>
        <x:v>CPG</x:v>
      </x:c>
      <x:c r="C6" s="38" t="str">
        <x:f>'Metrics'!C15</x:f>
        <x:v>Industrials &amp; Services</x:v>
      </x:c>
      <x:c r="D6" s="38" t="str">
        <x:f>'Metrics'!D15</x:f>
        <x:v>USD</x:v>
      </x:c>
      <x:c r="E6" s="38" t="n">
        <x:f>'Metrics'!E15</x:f>
        <x:v>2025</x:v>
      </x:c>
      <x:c r="F6" s="42" t="n">
        <x:f>'Metrics'!F15</x:f>
        <x:v>46070</x:v>
      </x:c>
      <x:c r="G6" s="42" t="n">
        <x:f>'Metrics'!G15</x:f>
        <x:v>2964</x:v>
      </x:c>
      <x:c r="H6" s="42" t="n">
        <x:f>'Metrics'!H15</x:f>
        <x:v>429</x:v>
      </x:c>
      <x:c r="I6" s="42" t="n">
        <x:f>'Metrics'!I15</x:f>
        <x:v>6992</x:v>
      </x:c>
      <x:c r="J6" s="44" t="n">
        <x:f>'Metrics'!J15</x:f>
        <x:v>0.0612</x:v>
      </x:c>
      <x:c r="K6" s="44" t="n">
        <x:f>'Metrics'!K15</x:f>
        <x:v>0.06433687866290427</x:v>
      </x:c>
      <x:c r="L6" s="52" t="n">
        <x:f>'Metrics'!L15</x:f>
        <x:v>6.909090909090909</x:v>
      </x:c>
      <x:c r="M6" s="52" t="n">
        <x:f>'Metrics'!M15</x:f>
        <x:v>0.15176904710223574</x:v>
      </x:c>
      <x:c r="N6" s="52" t="n">
        <x:f>'Metrics'!N15</x:f>
        <x:v>2.358974358974359</x:v>
      </x:c>
      <x:c r="O6" s="44" t="n">
        <x:f>'Metrics'!S15</x:f>
        <x:v>0.18287937743190663</x:v>
      </x:c>
      <x:c r="P6" s="44" t="n">
        <x:f>'Metrics'!T15</x:f>
        <x:v>0.0028159987048070392</x:v>
      </x:c>
      <x:c r="Q6" s="73"/>
      <x:c r="R6" s="73"/>
      <x:c r="S6" s="73"/>
      <x:c r="T6" s="73"/>
      <x:c r="U6" s="73"/>
      <x:c r="V6" s="73"/>
      <x:c r="W6" s="73"/>
      <x:c r="X6" s="73"/>
      <x:c r="Y6" s="73"/>
      <x:c r="Z6" s="73"/>
      <x:c r="AA6" s="73"/>
    </x:row>
    <x:row r="7">
      <x:c r="A7" s="38" t="str">
        <x:f>'Metrics'!A19</x:f>
        <x:v>Diageo</x:v>
      </x:c>
      <x:c r="B7" s="38" t="str">
        <x:f>'Metrics'!B19</x:f>
        <x:v>DGE</x:v>
      </x:c>
      <x:c r="C7" s="38" t="str">
        <x:f>'Metrics'!C19</x:f>
        <x:v>Consumer &amp; Retail</x:v>
      </x:c>
      <x:c r="D7" s="38" t="str">
        <x:f>'Metrics'!D19</x:f>
        <x:v>USD</x:v>
      </x:c>
      <x:c r="E7" s="38" t="n">
        <x:f>'Metrics'!E19</x:f>
        <x:v>2026</x:v>
      </x:c>
      <x:c r="F7" s="42" t="n">
        <x:f>'Metrics'!F19</x:f>
        <x:v>19643</x:v>
      </x:c>
      <x:c r="G7" s="42" t="n">
        <x:f>'Metrics'!G19</x:f>
        <x:v>6174</x:v>
      </x:c>
      <x:c r="H7" s="42" t="n">
        <x:f>'Metrics'!H19</x:f>
        <x:v>1123</x:v>
      </x:c>
      <x:c r="I7" s="42" t="n">
        <x:f>'Metrics'!I19</x:f>
        <x:v>22307</x:v>
      </x:c>
      <x:c r="J7" s="44" t="n">
        <x:f>'Metrics'!J19</x:f>
        <x:v>0.1478</x:v>
      </x:c>
      <x:c r="K7" s="44" t="n">
        <x:f>'Metrics'!K19</x:f>
        <x:v>0.31431044137860814</x:v>
      </x:c>
      <x:c r="L7" s="52" t="n">
        <x:f>'Metrics'!L19</x:f>
        <x:v>5.497773820124666</x:v>
      </x:c>
      <x:c r="M7" s="52" t="n">
        <x:f>'Metrics'!M19</x:f>
        <x:v>1.1356208318484957</x:v>
      </x:c>
      <x:c r="N7" s="52" t="n">
        <x:f>'Metrics'!N19</x:f>
        <x:v>3.613054745707807</x:v>
      </x:c>
      <x:c r="O7" s="44" t="n">
        <x:f>'Metrics'!S19</x:f>
        <x:v>-0.09361667547031816</x:v>
      </x:c>
      <x:c r="P7" s="44" t="n">
        <x:f>'Metrics'!T19</x:f>
        <x:v>0.03147517341120876</x:v>
      </x:c>
      <x:c r="Q7" s="73"/>
      <x:c r="R7" s="73"/>
      <x:c r="S7" s="73"/>
      <x:c r="T7" s="73"/>
      <x:c r="U7" s="73"/>
      <x:c r="V7" s="73"/>
      <x:c r="W7" s="73"/>
      <x:c r="X7" s="73"/>
      <x:c r="Y7" s="73"/>
      <x:c r="Z7" s="73"/>
      <x:c r="AA7" s="73"/>
    </x:row>
    <x:row r="8">
      <x:c r="A8" s="38" t="str">
        <x:f>'Metrics'!A23</x:f>
        <x:v>GSK</x:v>
      </x:c>
      <x:c r="B8" s="38" t="str">
        <x:f>'Metrics'!B23</x:f>
        <x:v>GSK</x:v>
      </x:c>
      <x:c r="C8" s="38" t="str">
        <x:f>'Metrics'!C23</x:f>
        <x:v>Healthcare</x:v>
      </x:c>
      <x:c r="D8" s="38" t="str">
        <x:f>'Metrics'!D23</x:f>
        <x:v>GBP</x:v>
      </x:c>
      <x:c r="E8" s="38" t="n">
        <x:f>'Metrics'!E23</x:f>
        <x:v>2025</x:v>
      </x:c>
      <x:c r="F8" s="42" t="n">
        <x:f>'Metrics'!F23</x:f>
        <x:v>32667</x:v>
      </x:c>
      <x:c r="G8" s="42" t="n">
        <x:f>'Metrics'!G23</x:f>
        <x:v>9447</x:v>
      </x:c>
      <x:c r="H8" s="42" t="n">
        <x:f>'Metrics'!H23</x:f>
        <x:v>658</x:v>
      </x:c>
      <x:c r="I8" s="42" t="n">
        <x:f>'Metrics'!I23</x:f>
        <x:v>17787</x:v>
      </x:c>
      <x:c r="J8" s="44" t="n">
        <x:f>'Metrics'!J23</x:f>
        <x:v>0.1957</x:v>
      </x:c>
      <x:c r="K8" s="44" t="n">
        <x:f>'Metrics'!K23</x:f>
        <x:v>0.28919092662319773</x:v>
      </x:c>
      <x:c r="L8" s="52" t="n">
        <x:f>'Metrics'!L23</x:f>
        <x:v>14.357142857142858</x:v>
      </x:c>
      <x:c r="M8" s="52" t="n">
        <x:f>'Metrics'!M23</x:f>
        <x:v>0.5444944439342456</x:v>
      </x:c>
      <x:c r="N8" s="52" t="n">
        <x:f>'Metrics'!N23</x:f>
        <x:v>1.8828199428389965</x:v>
      </x:c>
      <x:c r="O8" s="44" t="n">
        <x:f>'Metrics'!S23</x:f>
        <x:v>0.047156481808548145</x:v>
      </x:c>
      <x:c r="P8" s="44" t="n">
        <x:f>'Metrics'!T23</x:f>
        <x:v>0.09190637792355469</x:v>
      </x:c>
      <x:c r="Q8" s="73"/>
      <x:c r="R8" s="73"/>
      <x:c r="S8" s="73"/>
      <x:c r="T8" s="73"/>
      <x:c r="U8" s="73"/>
      <x:c r="V8" s="73"/>
      <x:c r="W8" s="73"/>
      <x:c r="X8" s="73"/>
      <x:c r="Y8" s="73"/>
      <x:c r="Z8" s="73"/>
      <x:c r="AA8" s="73"/>
    </x:row>
    <x:row r="9">
      <x:c r="A9" s="38" t="str">
        <x:f>'Metrics'!A27</x:f>
        <x:v>National Grid</x:v>
      </x:c>
      <x:c r="B9" s="38" t="str">
        <x:f>'Metrics'!B27</x:f>
        <x:v>NG</x:v>
      </x:c>
      <x:c r="C9" s="38" t="str">
        <x:f>'Metrics'!C27</x:f>
        <x:v>Utilities</x:v>
      </x:c>
      <x:c r="D9" s="38" t="str">
        <x:f>'Metrics'!D27</x:f>
        <x:v>GBP</x:v>
      </x:c>
      <x:c r="E9" s="38" t="n">
        <x:f>'Metrics'!E27</x:f>
        <x:v>2026</x:v>
      </x:c>
      <x:c r="F9" s="42" t="n">
        <x:f>'Metrics'!F27</x:f>
        <x:v>17687</x:v>
      </x:c>
      <x:c r="G9" s="42" t="n">
        <x:f>'Metrics'!G27</x:f>
        <x:v>5169</x:v>
      </x:c>
      <x:c r="H9" s="42" t="n">
        <x:f>'Metrics'!H27</x:f>
        <x:v>1526</x:v>
      </x:c>
      <x:c r="I9" s="42" t="n">
        <x:f>'Metrics'!I27</x:f>
        <x:v>47705</x:v>
      </x:c>
      <x:c r="J9" s="44" t="n">
        <x:f>'Metrics'!J27</x:f>
        <x:v>-0.1221</x:v>
      </x:c>
      <x:c r="K9" s="44" t="n">
        <x:f>'Metrics'!K27</x:f>
        <x:v>0.2922485441284559</x:v>
      </x:c>
      <x:c r="L9" s="52" t="n">
        <x:f>'Metrics'!L27</x:f>
        <x:v>3.387287024901704</x:v>
      </x:c>
      <x:c r="M9" s="52" t="n">
        <x:f>'Metrics'!M27</x:f>
        <x:v>2.697178718833041</x:v>
      </x:c>
      <x:c r="N9" s="52" t="n">
        <x:f>'Metrics'!N27</x:f>
        <x:v>9.229057844844263</x:v>
      </x:c>
      <x:c r="O9" s="44" t="n">
        <x:f>'Metrics'!S27</x:f>
        <x:v>-0.019968362881853885</x:v>
      </x:c>
      <x:c r="P9" s="44" t="n">
        <x:f>'Metrics'!T27</x:f>
        <x:v>0.02072824812236168</x:v>
      </x:c>
      <x:c r="Q9" s="73"/>
      <x:c r="R9" s="73"/>
      <x:c r="S9" s="73"/>
      <x:c r="T9" s="73"/>
      <x:c r="U9" s="73"/>
      <x:c r="V9" s="73"/>
      <x:c r="W9" s="73"/>
      <x:c r="X9" s="73"/>
      <x:c r="Y9" s="73"/>
      <x:c r="Z9" s="73"/>
      <x:c r="AA9" s="73"/>
    </x:row>
    <x:row r="10">
      <x:c r="A10" s="38" t="str">
        <x:f>'Metrics'!A31</x:f>
        <x:v>RELX</x:v>
      </x:c>
      <x:c r="B10" s="38" t="str">
        <x:f>'Metrics'!B31</x:f>
        <x:v>REL</x:v>
      </x:c>
      <x:c r="C10" s="38" t="str">
        <x:f>'Metrics'!C31</x:f>
        <x:v>Industrials &amp; Services</x:v>
      </x:c>
      <x:c r="D10" s="38" t="str">
        <x:f>'Metrics'!D31</x:f>
        <x:v>GBP</x:v>
      </x:c>
      <x:c r="E10" s="38" t="n">
        <x:f>'Metrics'!E31</x:f>
        <x:v>2025</x:v>
      </x:c>
      <x:c r="F10" s="42" t="n">
        <x:f>'Metrics'!F31</x:f>
        <x:v>9590</x:v>
      </x:c>
      <x:c r="G10" s="42" t="n">
        <x:f>'Metrics'!G31</x:f>
        <x:v>2986</x:v>
      </x:c>
      <x:c r="H10" s="42" t="n">
        <x:f>'Metrics'!H31</x:f>
        <x:v>283</x:v>
      </x:c>
      <x:c r="I10" s="42" t="n">
        <x:f>'Metrics'!I31</x:f>
        <x:v>7267</x:v>
      </x:c>
      <x:c r="J10" s="44" t="n">
        <x:f>'Metrics'!J31</x:f>
        <x:v>0.2935</x:v>
      </x:c>
      <x:c r="K10" s="44" t="n">
        <x:f>'Metrics'!K31</x:f>
        <x:v>0.3113660062565172</x:v>
      </x:c>
      <x:c r="L10" s="52" t="n">
        <x:f>'Metrics'!L31</x:f>
        <x:v>10.551236749116608</x:v>
      </x:c>
      <x:c r="M10" s="52" t="n">
        <x:f>'Metrics'!M31</x:f>
        <x:v>0.7577685088633994</x:v>
      </x:c>
      <x:c r="N10" s="52" t="n">
        <x:f>'Metrics'!N31</x:f>
        <x:v>2.4336905559276625</x:v>
      </x:c>
      <x:c r="O10" s="44" t="n">
        <x:f>'Metrics'!S31</x:f>
        <x:v>0.11048288508557458</x:v>
      </x:c>
      <x:c r="P10" s="44" t="n">
        <x:f>'Metrics'!T31</x:f>
        <x:v>0.012765200659739628</x:v>
      </x:c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  <x:c r="AA10" s="73"/>
    </x:row>
    <x:row r="11">
      <x:c r="A11" s="38" t="str">
        <x:f>'Metrics'!A35</x:f>
        <x:v>Rentokil Initial</x:v>
      </x:c>
      <x:c r="B11" s="38" t="str">
        <x:f>'Metrics'!B35</x:f>
        <x:v>RTO</x:v>
      </x:c>
      <x:c r="C11" s="38" t="str">
        <x:f>'Metrics'!C35</x:f>
        <x:v>Industrials &amp; Services</x:v>
      </x:c>
      <x:c r="D11" s="38" t="str">
        <x:f>'Metrics'!D35</x:f>
        <x:v>USD</x:v>
      </x:c>
      <x:c r="E11" s="38" t="n">
        <x:f>'Metrics'!E35</x:f>
        <x:v>2025</x:v>
      </x:c>
      <x:c r="F11" s="42" t="n">
        <x:f>'Metrics'!F35</x:f>
        <x:v>6908</x:v>
      </x:c>
      <x:c r="G11" s="42" t="n">
        <x:f>'Metrics'!G35</x:f>
        <x:v>877</x:v>
      </x:c>
      <x:c r="H11" s="42" t="n">
        <x:f>'Metrics'!H35</x:f>
        <x:v>237</x:v>
      </x:c>
      <x:c r="I11" s="42" t="n">
        <x:f>'Metrics'!I35</x:f>
        <x:v>6153</x:v>
      </x:c>
      <x:c r="J11" s="44" t="n">
        <x:f>'Metrics'!J35</x:f>
        <x:v>0.1106</x:v>
      </x:c>
      <x:c r="K11" s="44" t="n">
        <x:f>'Metrics'!K35</x:f>
        <x:v>0.12695425593514764</x:v>
      </x:c>
      <x:c r="L11" s="52" t="n">
        <x:f>'Metrics'!L35</x:f>
        <x:v>3.70042194092827</x:v>
      </x:c>
      <x:c r="M11" s="52" t="n">
        <x:f>'Metrics'!M35</x:f>
        <x:v>0.8907064273306311</x:v>
      </x:c>
      <x:c r="N11" s="52" t="n">
        <x:f>'Metrics'!N35</x:f>
        <x:v>7.015963511972634</x:v>
      </x:c>
      <x:c r="O11" s="44" t="n">
        <x:f>'Metrics'!S35</x:f>
        <x:v>0.18692129629629628</x:v>
      </x:c>
      <x:c r="P11" s="44" t="n">
        <x:f>'Metrics'!T35</x:f>
        <x:v>0.01164520349446456</x:v>
      </x:c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  <x:c r="AA11" s="73"/>
    </x:row>
    <x:row r="12">
      <x:c r="A12" s="38" t="str">
        <x:f>'Metrics'!A39</x:f>
        <x:v>Rolls-Royce</x:v>
      </x:c>
      <x:c r="B12" s="38" t="str">
        <x:f>'Metrics'!B39</x:f>
        <x:v>RR</x:v>
      </x:c>
      <x:c r="C12" s="38" t="str">
        <x:f>'Metrics'!C39</x:f>
        <x:v>Industrials &amp; Services</x:v>
      </x:c>
      <x:c r="D12" s="38" t="str">
        <x:f>'Metrics'!D39</x:f>
        <x:v>GBP</x:v>
      </x:c>
      <x:c r="E12" s="38" t="n">
        <x:f>'Metrics'!E39</x:f>
        <x:v>2025</x:v>
      </x:c>
      <x:c r="F12" s="42" t="n">
        <x:f>'Metrics'!F39</x:f>
        <x:v>21207</x:v>
      </x:c>
      <x:c r="G12" s="42" t="n">
        <x:f>'Metrics'!G39</x:f>
        <x:v>4468</x:v>
      </x:c>
      <x:c r="H12" s="42" t="n">
        <x:f>'Metrics'!H39</x:f>
        <x:v>479</x:v>
      </x:c>
      <x:c r="I12" s="42" t="n">
        <x:f>'Metrics'!I39</x:f>
        <x:v>5192</x:v>
      </x:c>
      <x:c r="J12" s="44" t="n">
        <x:f>'Metrics'!J39</x:f>
        <x:v>0.186</x:v>
      </x:c>
      <x:c r="K12" s="44" t="n">
        <x:f>'Metrics'!K39</x:f>
        <x:v>0.21068515112934408</x:v>
      </x:c>
      <x:c r="L12" s="52" t="n">
        <x:f>'Metrics'!L39</x:f>
        <x:v>9.32776617954071</x:v>
      </x:c>
      <x:c r="M12" s="52" t="n">
        <x:f>'Metrics'!M39</x:f>
        <x:v>0.24482482199273825</x:v>
      </x:c>
      <x:c r="N12" s="52" t="n">
        <x:f>'Metrics'!N39</x:f>
        <x:v>1.162041181736795</x:v>
      </x:c>
      <x:c r="O12" s="44" t="n">
        <x:f>'Metrics'!S39</x:f>
        <x:v>-0.2997032640949555</x:v>
      </x:c>
      <x:c r="P12" s="44" t="n">
        <x:f>'Metrics'!T39</x:f>
        <x:v>0.05700171995900191</x:v>
      </x:c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  <x:c r="AA12" s="73"/>
    </x:row>
    <x:row r="13">
      <x:c r="A13" s="38" t="str">
        <x:f>'Metrics'!A43</x:f>
        <x:v>SSE</x:v>
      </x:c>
      <x:c r="B13" s="38" t="str">
        <x:f>'Metrics'!B43</x:f>
        <x:v>SSE</x:v>
      </x:c>
      <x:c r="C13" s="38" t="str">
        <x:f>'Metrics'!C43</x:f>
        <x:v>Utilities</x:v>
      </x:c>
      <x:c r="D13" s="38" t="str">
        <x:f>'Metrics'!D43</x:f>
        <x:v>GBP</x:v>
      </x:c>
      <x:c r="E13" s="38" t="n">
        <x:f>'Metrics'!E43</x:f>
        <x:v>2026</x:v>
      </x:c>
      <x:c r="F13" s="42" t="n">
        <x:f>'Metrics'!F43</x:f>
        <x:v>10187</x:v>
      </x:c>
      <x:c r="G13" s="42" t="n">
        <x:f>'Metrics'!G43</x:f>
        <x:v>1889</x:v>
      </x:c>
      <x:c r="H13" s="42" t="n">
        <x:f>'Metrics'!H43</x:f>
        <x:v>310.4</x:v>
      </x:c>
      <x:c r="I13" s="42" t="n">
        <x:f>'Metrics'!I43</x:f>
        <x:v>10121</x:v>
      </x:c>
      <x:c r="J13" s="44" t="n">
        <x:f>'Metrics'!J43</x:f>
        <x:v>-0.0699</x:v>
      </x:c>
      <x:c r="K13" s="44" t="n">
        <x:f>'Metrics'!K43</x:f>
        <x:v>0.18543241386080297</x:v>
      </x:c>
      <x:c r="L13" s="52" t="n">
        <x:f>'Metrics'!L43</x:f>
        <x:v>6.085695876288661</x:v>
      </x:c>
      <x:c r="M13" s="52" t="n">
        <x:f>'Metrics'!M43</x:f>
        <x:v>0.9935211544124865</x:v>
      </x:c>
      <x:c r="N13" s="52" t="n">
        <x:f>'Metrics'!N43</x:f>
        <x:v>5.357861302276337</x:v>
      </x:c>
      <x:c r="O13" s="44" t="n">
        <x:f>'Metrics'!S43</x:f>
        <x:v>-0.045548849490758214</x:v>
      </x:c>
      <x:c r="P13" s="44" t="n">
        <x:f>'Metrics'!T43</x:f>
        <x:v>-0.00821148665242244</x:v>
      </x:c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  <x:c r="AA13" s="73"/>
    </x:row>
    <x:row r="14">
      <x:c r="A14" s="38" t="str">
        <x:f>'Metrics'!A47</x:f>
        <x:v>Smith &amp; Nephew</x:v>
      </x:c>
      <x:c r="B14" s="38" t="str">
        <x:f>'Metrics'!B47</x:f>
        <x:v>SN</x:v>
      </x:c>
      <x:c r="C14" s="38" t="str">
        <x:f>'Metrics'!C47</x:f>
        <x:v>Healthcare</x:v>
      </x:c>
      <x:c r="D14" s="38" t="str">
        <x:f>'Metrics'!D47</x:f>
        <x:v>USD</x:v>
      </x:c>
      <x:c r="E14" s="38" t="n">
        <x:f>'Metrics'!E47</x:f>
        <x:v>2025</x:v>
      </x:c>
      <x:c r="F14" s="42" t="n">
        <x:f>'Metrics'!F47</x:f>
        <x:v>6164</x:v>
      </x:c>
      <x:c r="G14" s="42" t="n">
        <x:f>'Metrics'!G47</x:f>
        <x:v>877</x:v>
      </x:c>
      <x:c r="H14" s="42" t="n">
        <x:f>'Metrics'!H47</x:f>
        <x:v>140</x:v>
      </x:c>
      <x:c r="I14" s="42" t="n">
        <x:f>'Metrics'!I47</x:f>
        <x:v>3327</x:v>
      </x:c>
      <x:c r="J14" s="44" t="n">
        <x:f>'Metrics'!J47</x:f>
        <x:v>0.1382</x:v>
      </x:c>
      <x:c r="K14" s="44" t="n">
        <x:f>'Metrics'!K47</x:f>
        <x:v>0.14227774172615185</x:v>
      </x:c>
      <x:c r="L14" s="52" t="n">
        <x:f>'Metrics'!L47</x:f>
        <x:v>6.264285714285714</x:v>
      </x:c>
      <x:c r="M14" s="52" t="n">
        <x:f>'Metrics'!M47</x:f>
        <x:v>0.5397469175859831</x:v>
      </x:c>
      <x:c r="N14" s="52" t="n">
        <x:f>'Metrics'!N47</x:f>
        <x:v>3.7936145952109466</x:v>
      </x:c>
      <x:c r="O14" s="44" t="n">
        <x:f>'Metrics'!S47</x:f>
        <x:v>0.0018066847335140857</x:v>
      </x:c>
      <x:c r="P14" s="44" t="n">
        <x:f>'Metrics'!T47</x:f>
        <x:v>-0.010217955347858493</x:v>
      </x:c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  <x:c r="AA14" s="73"/>
    </x:row>
    <x:row r="15">
      <x:c r="A15" s="38" t="str">
        <x:f>'Metrics'!A51</x:f>
        <x:v>Tesco</x:v>
      </x:c>
      <x:c r="B15" s="38" t="str">
        <x:f>'Metrics'!B51</x:f>
        <x:v>TSCO</x:v>
      </x:c>
      <x:c r="C15" s="38" t="str">
        <x:f>'Metrics'!C51</x:f>
        <x:v>Consumer &amp; Retail</x:v>
      </x:c>
      <x:c r="D15" s="38" t="str">
        <x:f>'Metrics'!D51</x:f>
        <x:v>GBP</x:v>
      </x:c>
      <x:c r="E15" s="38" t="n">
        <x:f>'Metrics'!E51</x:f>
        <x:v>2025</x:v>
      </x:c>
      <x:c r="F15" s="42" t="n">
        <x:f>'Metrics'!F51</x:f>
        <x:v>69916</x:v>
      </x:c>
      <x:c r="G15" s="42" t="n">
        <x:f>'Metrics'!G51</x:f>
        <x:v>2999</x:v>
      </x:c>
      <x:c r="H15" s="42" t="n">
        <x:f>'Metrics'!H51</x:f>
        <x:v>769</x:v>
      </x:c>
      <x:c r="I15" s="42" t="n">
        <x:f>'Metrics'!I51</x:f>
        <x:v>14666</x:v>
      </x:c>
      <x:c r="J15" s="44" t="n">
        <x:f>'Metrics'!J51</x:f>
        <x:v>0.024</x:v>
      </x:c>
      <x:c r="K15" s="44" t="n">
        <x:f>'Metrics'!K51</x:f>
        <x:v>0.04289433033926426</x:v>
      </x:c>
      <x:c r="L15" s="52" t="n">
        <x:f>'Metrics'!L51</x:f>
        <x:v>3.8998699609882963</x:v>
      </x:c>
      <x:c r="M15" s="52" t="n">
        <x:f>'Metrics'!M51</x:f>
        <x:v>0.20976600492018993</x:v>
      </x:c>
      <x:c r="N15" s="52" t="n">
        <x:f>'Metrics'!N51</x:f>
        <x:v>4.89029676558853</x:v>
      </x:c>
      <x:c r="O15" s="44" t="n">
        <x:f>'Metrics'!S51</x:f>
        <x:v>-0.011791658244053593</x:v>
      </x:c>
      <x:c r="P15" s="44" t="n">
        <x:f>'Metrics'!T51</x:f>
        <x:v>0.0015521390124717607</x:v>
      </x:c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  <x:c r="AA15" s="73"/>
    </x:row>
    <x:row r="16">
      <x:c r="A16" s="38" t="str">
        <x:f>'Metrics'!A55</x:f>
        <x:v>Unilever</x:v>
      </x:c>
      <x:c r="B16" s="38" t="str">
        <x:f>'Metrics'!B55</x:f>
        <x:v>ULVR</x:v>
      </x:c>
      <x:c r="C16" s="38" t="str">
        <x:f>'Metrics'!C55</x:f>
        <x:v>Consumer &amp; Retail</x:v>
      </x:c>
      <x:c r="D16" s="38" t="str">
        <x:f>'Metrics'!D55</x:f>
        <x:v>EUR</x:v>
      </x:c>
      <x:c r="E16" s="38" t="n">
        <x:f>'Metrics'!E55</x:f>
        <x:v>2025</x:v>
      </x:c>
      <x:c r="F16" s="42" t="n">
        <x:f>'Metrics'!F55</x:f>
        <x:v>50503</x:v>
      </x:c>
      <x:c r="G16" s="42" t="n">
        <x:f>'Metrics'!G55</x:f>
        <x:v>10127</x:v>
      </x:c>
      <x:c r="H16" s="42" t="n">
        <x:f>'Metrics'!H55</x:f>
        <x:v>1098</x:v>
      </x:c>
      <x:c r="I16" s="42" t="n">
        <x:f>'Metrics'!I55</x:f>
        <x:v>28278</x:v>
      </x:c>
      <x:c r="J16" s="44" t="n">
        <x:f>'Metrics'!J55</x:f>
        <x:v>0.1373</x:v>
      </x:c>
      <x:c r="K16" s="44" t="n">
        <x:f>'Metrics'!K55</x:f>
        <x:v>0.20052274122329367</x:v>
      </x:c>
      <x:c r="L16" s="52" t="n">
        <x:f>'Metrics'!L55</x:f>
        <x:v>9.223132969034609</x:v>
      </x:c>
      <x:c r="M16" s="52" t="n">
        <x:f>'Metrics'!M55</x:f>
        <x:v>0.5599271330416015</x:v>
      </x:c>
      <x:c r="N16" s="52" t="n">
        <x:f>'Metrics'!N55</x:f>
        <x:v>2.7923373160857117</x:v>
      </x:c>
      <x:c r="O16" s="44" t="n">
        <x:f>'Metrics'!S55</x:f>
        <x:v>-0.11777368733035909</x:v>
      </x:c>
      <x:c r="P16" s="44" t="n">
        <x:f>'Metrics'!T55</x:f>
        <x:v>0.004672972744473564</x:v>
      </x:c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  <x:c r="AA16" s="73"/>
    </x:row>
    <x:row r="17">
      <x:c r="A17" s="38" t="str">
        <x:f>'Metrics'!A59</x:f>
        <x:v>United Utilities</x:v>
      </x:c>
      <x:c r="B17" s="38" t="str">
        <x:f>'Metrics'!B59</x:f>
        <x:v>UU</x:v>
      </x:c>
      <x:c r="C17" s="38" t="str">
        <x:f>'Metrics'!C59</x:f>
        <x:v>Utilities</x:v>
      </x:c>
      <x:c r="D17" s="38" t="str">
        <x:f>'Metrics'!D59</x:f>
        <x:v>GBP</x:v>
      </x:c>
      <x:c r="E17" s="38" t="n">
        <x:f>'Metrics'!E59</x:f>
        <x:v>2026</x:v>
      </x:c>
      <x:c r="F17" s="42" t="n">
        <x:f>'Metrics'!F59</x:f>
        <x:v>2616</x:v>
      </x:c>
      <x:c r="G17" s="42" t="n">
        <x:f>'Metrics'!G59</x:f>
        <x:v>1099</x:v>
      </x:c>
      <x:c r="H17" s="42" t="n">
        <x:f>'Metrics'!H59</x:f>
        <x:v>415.7</x:v>
      </x:c>
      <x:c r="I17" s="42" t="n">
        <x:f>'Metrics'!I59</x:f>
        <x:v>11490.9</x:v>
      </x:c>
      <x:c r="J17" s="44" t="n">
        <x:f>'Metrics'!J59</x:f>
        <x:v>-0.042</x:v>
      </x:c>
      <x:c r="K17" s="44" t="n">
        <x:f>'Metrics'!K59</x:f>
        <x:v>0.42010703363914376</x:v>
      </x:c>
      <x:c r="L17" s="52" t="n">
        <x:f>'Metrics'!L59</x:f>
        <x:v>2.6437334616309838</x:v>
      </x:c>
      <x:c r="M17" s="52" t="n">
        <x:f>'Metrics'!M59</x:f>
        <x:v>4.392545871559633</x:v>
      </x:c>
      <x:c r="N17" s="52" t="n">
        <x:f>'Metrics'!N59</x:f>
        <x:v>10.455777979981802</x:v>
      </x:c>
      <x:c r="O17" s="44" t="n">
        <x:f>'Metrics'!S59</x:f>
        <x:v>0.06504713090063108</x:v>
      </x:c>
      <x:c r="P17" s="44" t="n">
        <x:f>'Metrics'!T59</x:f>
        <x:v>0.12570143923354937</x:v>
      </x:c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  <x:c r="AA17" s="73"/>
    </x:row>
    <x:row r="18">
      <x:c r="A18" s="38" t="str">
        <x:f>'Metrics'!A63</x:f>
        <x:v>Vodafone</x:v>
      </x:c>
      <x:c r="B18" s="38" t="str">
        <x:f>'Metrics'!B63</x:f>
        <x:v>VOD</x:v>
      </x:c>
      <x:c r="C18" s="38" t="str">
        <x:f>'Metrics'!C63</x:f>
        <x:v>Telecom</x:v>
      </x:c>
      <x:c r="D18" s="38" t="str">
        <x:f>'Metrics'!D63</x:f>
        <x:v>EUR</x:v>
      </x:c>
      <x:c r="E18" s="38" t="n">
        <x:f>'Metrics'!E63</x:f>
        <x:v>2026</x:v>
      </x:c>
      <x:c r="F18" s="42" t="n">
        <x:f>'Metrics'!F63</x:f>
        <x:v>40461</x:v>
      </x:c>
      <x:c r="G18" s="42" t="n">
        <x:f>'Metrics'!G63</x:f>
        <x:v>3149</x:v>
      </x:c>
      <x:c r="H18" s="42" t="n">
        <x:f>'Metrics'!H63</x:f>
        <x:v>2214</x:v>
      </x:c>
      <x:c r="I18" s="42" t="n">
        <x:f>'Metrics'!I63</x:f>
        <x:v>54448</x:v>
      </x:c>
      <x:c r="J18" s="44" t="n">
        <x:f>'Metrics'!J63</x:f>
        <x:v>0.2328</x:v>
      </x:c>
      <x:c r="K18" s="44" t="n">
        <x:f>'Metrics'!K63</x:f>
        <x:v>0.07782803193198388</x:v>
      </x:c>
      <x:c r="L18" s="52" t="n">
        <x:f>'Metrics'!L63</x:f>
        <x:v>1.4223125564588979</x:v>
      </x:c>
      <x:c r="M18" s="52" t="n">
        <x:f>'Metrics'!M63</x:f>
        <x:v>1.3456909122364746</x:v>
      </x:c>
      <x:c r="N18" s="52" t="n">
        <x:f>'Metrics'!N63</x:f>
        <x:v>17.290568434423626</x:v>
      </x:c>
      <x:c r="O18" s="44" t="n">
        <x:f>'Metrics'!S63</x:f>
        <x:v>-0.01091754618612506</x:v>
      </x:c>
      <x:c r="P18" s="44" t="n">
        <x:f>'Metrics'!T63</x:f>
        <x:v>-0.01229694136432033</x:v>
      </x:c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  <x:c r="AA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  <x:c r="AA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  <x:c r="AA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  <x:c r="AA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  <x:c r="AA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  <x:c r="AA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  <x:c r="AA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  <x:c r="AA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  <x:c r="AA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  <x:c r="AA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  <x:c r="AA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  <x:c r="AA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  <x:c r="AA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  <x:c r="AA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  <x:c r="AA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  <x:c r="AA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  <x:c r="AA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  <x:c r="AA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  <x:c r="AA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  <x:c r="AA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  <x:c r="AA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  <x:c r="AA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  <x:c r="AA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  <x:c r="AA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  <x:c r="AA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  <x:c r="AA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  <x:c r="AA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  <x:c r="AA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  <x:c r="AA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  <x:c r="AA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  <x:c r="AA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  <x:c r="AA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  <x:c r="AA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  <x:c r="AA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  <x:c r="AA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  <x:c r="AA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  <x:c r="AA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  <x:c r="AA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  <x:c r="AA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  <x:c r="AA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  <x:c r="AA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  <x:c r="AA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  <x:c r="AA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  <x:c r="AA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  <x:c r="AA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  <x:c r="AA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  <x:c r="AA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  <x:c r="AA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  <x:c r="AA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  <x:c r="AA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  <x:c r="AA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  <x:c r="AA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  <x:c r="AA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  <x:c r="AA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  <x:c r="AA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  <x:c r="AA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  <x:c r="AA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  <x:c r="AA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  <x:c r="AA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  <x:c r="AA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  <x:c r="AA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  <x:c r="AA80" s="73"/>
    </x:row>
  </x:sheetData>
  <x:mergeCells>
    <x:mergeCell ref="A1:P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8" hidden="0" customWidth="1"/>
    <x:col min="4" max="4" width="23" hidden="0" customWidth="1"/>
    <x:col min="5" max="5" width="7" hidden="0" customWidth="1"/>
    <x:col min="6" max="6" width="13" hidden="0" customWidth="1"/>
    <x:col min="7" max="7" width="13" hidden="0" customWidth="1"/>
    <x:col min="8" max="8" width="17" hidden="0" customWidth="1"/>
    <x:col min="9" max="9" width="14" hidden="0" customWidth="1"/>
    <x:col min="10" max="10" width="11" hidden="0" customWidth="1"/>
    <x:col min="11" max="11" width="16" hidden="0" customWidth="1"/>
    <x:col min="12" max="12" width="13" hidden="0" customWidth="1"/>
    <x:col min="13" max="13" width="14" hidden="0" customWidth="1"/>
    <x:col min="14" max="14" width="28" hidden="0" customWidth="1"/>
  </x:cols>
  <x:sheetData>
    <x:row r="1">
      <x:c r="A1" s="82" t="str">
        <x:v>Stress Test — Base / Downside / Severe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  <x:c r="AA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  <x:c r="AA2" s="73"/>
    </x:row>
    <x:row r="3">
      <x:c r="A3" s="74" t="str">
        <x:v>Scenario</x:v>
      </x:c>
      <x:c r="B3" s="74" t="str">
        <x:v>Company</x:v>
      </x:c>
      <x:c r="C3" s="74" t="str">
        <x:v>Ticker</x:v>
      </x:c>
      <x:c r="D3" s="74" t="str">
        <x:v>Sector</x:v>
      </x:c>
      <x:c r="E3" s="74" t="str">
        <x:v>FY</x:v>
      </x:c>
      <x:c r="F3" s="74" t="str">
        <x:v>Revenue (m)</x:v>
      </x:c>
      <x:c r="G3" s="74" t="str">
        <x:v>EBIT (m)</x:v>
      </x:c>
      <x:c r="H3" s="74" t="str">
        <x:v>Interest Expense (m)</x:v>
      </x:c>
      <x:c r="I3" s="74" t="str">
        <x:v>Total Debt (m)</x:v>
      </x:c>
      <x:c r="J3" s="74" t="str">
        <x:v>FCF Margin</x:v>
      </x:c>
      <x:c r="K3" s="74" t="str">
        <x:v>Interest Coverage</x:v>
      </x:c>
      <x:c r="L3" s="74" t="str">
        <x:v>Debt / EBIT</x:v>
      </x:c>
      <x:c r="M3" s="74" t="str">
        <x:v>Debt / Revenue</x:v>
      </x:c>
      <x:c r="N3" s="74" t="str">
        <x:v>Status Note</x:v>
      </x:c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  <x:c r="AA3" s="73"/>
    </x:row>
    <x:row r="4">
      <x:c r="A4" s="38" t="str">
        <x:f>'Assumptions'!A4</x:f>
        <x:v>Base</x:v>
      </x:c>
      <x:c r="B4" s="38" t="str">
        <x:f>'Latest_Snapshot'!A4</x:f>
        <x:v>AstraZeneca</x:v>
      </x:c>
      <x:c r="C4" s="38" t="str">
        <x:f>'Latest_Snapshot'!B4</x:f>
        <x:v>AZN</x:v>
      </x:c>
      <x:c r="D4" s="38" t="str">
        <x:f>'Latest_Snapshot'!C4</x:f>
        <x:v>Healthcare</x:v>
      </x:c>
      <x:c r="E4" s="38" t="n">
        <x:f>'Latest_Snapshot'!E4</x:f>
        <x:v>2025</x:v>
      </x:c>
      <x:c r="F4" s="50" t="n">
        <x:f>'Latest_Snapshot'!F4*(1+'Assumptions'!B4)</x:f>
        <x:v>58739</x:v>
      </x:c>
      <x:c r="G4" s="50" t="n">
        <x:f>'Latest_Snapshot'!G4*(1+'Assumptions'!C4)</x:f>
        <x:v>14292</x:v>
      </x:c>
      <x:c r="H4" s="50" t="n">
        <x:f>'Latest_Snapshot'!H4*(1+'Assumptions'!D4)</x:f>
        <x:v>1365</x:v>
      </x:c>
      <x:c r="I4" s="50" t="n">
        <x:f>'Latest_Snapshot'!I4*(1+'Assumptions'!E4)</x:f>
        <x:v>29703</x:v>
      </x:c>
      <x:c r="J4" s="45" t="n">
        <x:f>'Latest_Snapshot'!J4+'Assumptions'!F4</x:f>
        <x:v>0.2003</x:v>
      </x:c>
      <x:c r="K4" s="48" t="n">
        <x:f>IFERROR(G4/ABS(H4),"")</x:f>
        <x:v>10.47032967032967</x:v>
      </x:c>
      <x:c r="L4" s="48" t="n">
        <x:f>IF(G4&lt;=0,"",I4/G4)</x:f>
        <x:v>2.0782955499580185</x:v>
      </x:c>
      <x:c r="M4" s="48" t="n">
        <x:f>IFERROR(I4/F4,"")</x:f>
        <x:v>0.5056776587956894</x:v>
      </x:c>
      <x:c r="N4" s="40" t="str">
        <x:f>IF(K4&lt;'Assumptions'!$C$24,"Critical debt-service pressure",IF(K4&lt;'Assumptions'!$B$24,"Tighter headroom","Within screen"))</x:f>
        <x:v>Within screen</x:v>
      </x:c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  <x:c r="AA4" s="73"/>
    </x:row>
    <x:row r="5">
      <x:c r="A5" s="38" t="str">
        <x:f>'Assumptions'!A4</x:f>
        <x:v>Base</x:v>
      </x:c>
      <x:c r="B5" s="38" t="str">
        <x:f>'Latest_Snapshot'!A5</x:f>
        <x:v>BT Group</x:v>
      </x:c>
      <x:c r="C5" s="38" t="str">
        <x:f>'Latest_Snapshot'!B5</x:f>
        <x:v>BT.A</x:v>
      </x:c>
      <x:c r="D5" s="38" t="str">
        <x:f>'Latest_Snapshot'!C5</x:f>
        <x:v>Telecom</x:v>
      </x:c>
      <x:c r="E5" s="38" t="n">
        <x:f>'Latest_Snapshot'!E5</x:f>
        <x:v>2026</x:v>
      </x:c>
      <x:c r="F5" s="50" t="n">
        <x:f>'Latest_Snapshot'!F5*(1+'Assumptions'!B4)</x:f>
        <x:v>19654</x:v>
      </x:c>
      <x:c r="G5" s="50" t="n">
        <x:f>'Latest_Snapshot'!G5*(1+'Assumptions'!C4)</x:f>
        <x:v>2897</x:v>
      </x:c>
      <x:c r="H5" s="50" t="n">
        <x:f>'Latest_Snapshot'!H5*(1+'Assumptions'!D4)</x:f>
        <x:v>1397</x:v>
      </x:c>
      <x:c r="I5" s="50" t="n">
        <x:f>'Latest_Snapshot'!I5*(1+'Assumptions'!E4)</x:f>
        <x:v>22720</x:v>
      </x:c>
      <x:c r="J5" s="45" t="n">
        <x:f>'Latest_Snapshot'!J5+'Assumptions'!F4</x:f>
        <x:v>0.0947</x:v>
      </x:c>
      <x:c r="K5" s="48" t="n">
        <x:f>IFERROR(G5/ABS(H5),"")</x:f>
        <x:v>2.073729420186113</x:v>
      </x:c>
      <x:c r="L5" s="48" t="n">
        <x:f>IF(G5&lt;=0,"",I5/G5)</x:f>
        <x:v>7.84259578874698</x:v>
      </x:c>
      <x:c r="M5" s="48" t="n">
        <x:f>IFERROR(I5/F5,"")</x:f>
        <x:v>1.1559987788745294</x:v>
      </x:c>
      <x:c r="N5" s="40" t="str">
        <x:f>IF(K5&lt;'Assumptions'!$C$24,"Critical debt-service pressure",IF(K5&lt;'Assumptions'!$B$24,"Tighter headroom","Within screen"))</x:f>
        <x:v>Within screen</x:v>
      </x:c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  <x:c r="AA5" s="73"/>
    </x:row>
    <x:row r="6">
      <x:c r="A6" s="38" t="str">
        <x:f>'Assumptions'!A4</x:f>
        <x:v>Base</x:v>
      </x:c>
      <x:c r="B6" s="38" t="str">
        <x:f>'Latest_Snapshot'!A6</x:f>
        <x:v>Compass Group</x:v>
      </x:c>
      <x:c r="C6" s="38" t="str">
        <x:f>'Latest_Snapshot'!B6</x:f>
        <x:v>CPG</x:v>
      </x:c>
      <x:c r="D6" s="38" t="str">
        <x:f>'Latest_Snapshot'!C6</x:f>
        <x:v>Industrials &amp; Services</x:v>
      </x:c>
      <x:c r="E6" s="38" t="n">
        <x:f>'Latest_Snapshot'!E6</x:f>
        <x:v>2025</x:v>
      </x:c>
      <x:c r="F6" s="50" t="n">
        <x:f>'Latest_Snapshot'!F6*(1+'Assumptions'!B4)</x:f>
        <x:v>46070</x:v>
      </x:c>
      <x:c r="G6" s="50" t="n">
        <x:f>'Latest_Snapshot'!G6*(1+'Assumptions'!C4)</x:f>
        <x:v>2964</x:v>
      </x:c>
      <x:c r="H6" s="50" t="n">
        <x:f>'Latest_Snapshot'!H6*(1+'Assumptions'!D4)</x:f>
        <x:v>429</x:v>
      </x:c>
      <x:c r="I6" s="50" t="n">
        <x:f>'Latest_Snapshot'!I6*(1+'Assumptions'!E4)</x:f>
        <x:v>6992</x:v>
      </x:c>
      <x:c r="J6" s="45" t="n">
        <x:f>'Latest_Snapshot'!J6+'Assumptions'!F4</x:f>
        <x:v>0.0612</x:v>
      </x:c>
      <x:c r="K6" s="48" t="n">
        <x:f>IFERROR(G6/ABS(H6),"")</x:f>
        <x:v>6.909090909090909</x:v>
      </x:c>
      <x:c r="L6" s="48" t="n">
        <x:f>IF(G6&lt;=0,"",I6/G6)</x:f>
        <x:v>2.358974358974359</x:v>
      </x:c>
      <x:c r="M6" s="48" t="n">
        <x:f>IFERROR(I6/F6,"")</x:f>
        <x:v>0.15176904710223574</x:v>
      </x:c>
      <x:c r="N6" s="40" t="str">
        <x:f>IF(K6&lt;'Assumptions'!$C$24,"Critical debt-service pressure",IF(K6&lt;'Assumptions'!$B$24,"Tighter headroom","Within screen"))</x:f>
        <x:v>Within screen</x:v>
      </x:c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  <x:c r="AA6" s="73"/>
    </x:row>
    <x:row r="7">
      <x:c r="A7" s="38" t="str">
        <x:f>'Assumptions'!A4</x:f>
        <x:v>Base</x:v>
      </x:c>
      <x:c r="B7" s="38" t="str">
        <x:f>'Latest_Snapshot'!A7</x:f>
        <x:v>Diageo</x:v>
      </x:c>
      <x:c r="C7" s="38" t="str">
        <x:f>'Latest_Snapshot'!B7</x:f>
        <x:v>DGE</x:v>
      </x:c>
      <x:c r="D7" s="38" t="str">
        <x:f>'Latest_Snapshot'!C7</x:f>
        <x:v>Consumer &amp; Retail</x:v>
      </x:c>
      <x:c r="E7" s="38" t="n">
        <x:f>'Latest_Snapshot'!E7</x:f>
        <x:v>2026</x:v>
      </x:c>
      <x:c r="F7" s="50" t="n">
        <x:f>'Latest_Snapshot'!F7*(1+'Assumptions'!B4)</x:f>
        <x:v>19643</x:v>
      </x:c>
      <x:c r="G7" s="50" t="n">
        <x:f>'Latest_Snapshot'!G7*(1+'Assumptions'!C4)</x:f>
        <x:v>6174</x:v>
      </x:c>
      <x:c r="H7" s="50" t="n">
        <x:f>'Latest_Snapshot'!H7*(1+'Assumptions'!D4)</x:f>
        <x:v>1123</x:v>
      </x:c>
      <x:c r="I7" s="50" t="n">
        <x:f>'Latest_Snapshot'!I7*(1+'Assumptions'!E4)</x:f>
        <x:v>22307</x:v>
      </x:c>
      <x:c r="J7" s="45" t="n">
        <x:f>'Latest_Snapshot'!J7+'Assumptions'!F4</x:f>
        <x:v>0.1478</x:v>
      </x:c>
      <x:c r="K7" s="48" t="n">
        <x:f>IFERROR(G7/ABS(H7),"")</x:f>
        <x:v>5.497773820124666</x:v>
      </x:c>
      <x:c r="L7" s="48" t="n">
        <x:f>IF(G7&lt;=0,"",I7/G7)</x:f>
        <x:v>3.613054745707807</x:v>
      </x:c>
      <x:c r="M7" s="48" t="n">
        <x:f>IFERROR(I7/F7,"")</x:f>
        <x:v>1.1356208318484957</x:v>
      </x:c>
      <x:c r="N7" s="40" t="str">
        <x:f>IF(K7&lt;'Assumptions'!$C$24,"Critical debt-service pressure",IF(K7&lt;'Assumptions'!$B$24,"Tighter headroom","Within screen"))</x:f>
        <x:v>Within screen</x:v>
      </x:c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  <x:c r="AA7" s="73"/>
    </x:row>
    <x:row r="8">
      <x:c r="A8" s="38" t="str">
        <x:f>'Assumptions'!A4</x:f>
        <x:v>Base</x:v>
      </x:c>
      <x:c r="B8" s="38" t="str">
        <x:f>'Latest_Snapshot'!A8</x:f>
        <x:v>GSK</x:v>
      </x:c>
      <x:c r="C8" s="38" t="str">
        <x:f>'Latest_Snapshot'!B8</x:f>
        <x:v>GSK</x:v>
      </x:c>
      <x:c r="D8" s="38" t="str">
        <x:f>'Latest_Snapshot'!C8</x:f>
        <x:v>Healthcare</x:v>
      </x:c>
      <x:c r="E8" s="38" t="n">
        <x:f>'Latest_Snapshot'!E8</x:f>
        <x:v>2025</x:v>
      </x:c>
      <x:c r="F8" s="50" t="n">
        <x:f>'Latest_Snapshot'!F8*(1+'Assumptions'!B4)</x:f>
        <x:v>32667</x:v>
      </x:c>
      <x:c r="G8" s="50" t="n">
        <x:f>'Latest_Snapshot'!G8*(1+'Assumptions'!C4)</x:f>
        <x:v>9447</x:v>
      </x:c>
      <x:c r="H8" s="50" t="n">
        <x:f>'Latest_Snapshot'!H8*(1+'Assumptions'!D4)</x:f>
        <x:v>658</x:v>
      </x:c>
      <x:c r="I8" s="50" t="n">
        <x:f>'Latest_Snapshot'!I8*(1+'Assumptions'!E4)</x:f>
        <x:v>17787</x:v>
      </x:c>
      <x:c r="J8" s="45" t="n">
        <x:f>'Latest_Snapshot'!J8+'Assumptions'!F4</x:f>
        <x:v>0.1957</x:v>
      </x:c>
      <x:c r="K8" s="48" t="n">
        <x:f>IFERROR(G8/ABS(H8),"")</x:f>
        <x:v>14.357142857142858</x:v>
      </x:c>
      <x:c r="L8" s="48" t="n">
        <x:f>IF(G8&lt;=0,"",I8/G8)</x:f>
        <x:v>1.8828199428389965</x:v>
      </x:c>
      <x:c r="M8" s="48" t="n">
        <x:f>IFERROR(I8/F8,"")</x:f>
        <x:v>0.5444944439342456</x:v>
      </x:c>
      <x:c r="N8" s="40" t="str">
        <x:f>IF(K8&lt;'Assumptions'!$C$24,"Critical debt-service pressure",IF(K8&lt;'Assumptions'!$B$24,"Tighter headroom","Within screen"))</x:f>
        <x:v>Within screen</x:v>
      </x:c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  <x:c r="AA8" s="73"/>
    </x:row>
    <x:row r="9">
      <x:c r="A9" s="38" t="str">
        <x:f>'Assumptions'!A4</x:f>
        <x:v>Base</x:v>
      </x:c>
      <x:c r="B9" s="38" t="str">
        <x:f>'Latest_Snapshot'!A9</x:f>
        <x:v>National Grid</x:v>
      </x:c>
      <x:c r="C9" s="38" t="str">
        <x:f>'Latest_Snapshot'!B9</x:f>
        <x:v>NG</x:v>
      </x:c>
      <x:c r="D9" s="38" t="str">
        <x:f>'Latest_Snapshot'!C9</x:f>
        <x:v>Utilities</x:v>
      </x:c>
      <x:c r="E9" s="38" t="n">
        <x:f>'Latest_Snapshot'!E9</x:f>
        <x:v>2026</x:v>
      </x:c>
      <x:c r="F9" s="50" t="n">
        <x:f>'Latest_Snapshot'!F9*(1+'Assumptions'!B4)</x:f>
        <x:v>17687</x:v>
      </x:c>
      <x:c r="G9" s="50" t="n">
        <x:f>'Latest_Snapshot'!G9*(1+'Assumptions'!C4)</x:f>
        <x:v>5169</x:v>
      </x:c>
      <x:c r="H9" s="50" t="n">
        <x:f>'Latest_Snapshot'!H9*(1+'Assumptions'!D4)</x:f>
        <x:v>1526</x:v>
      </x:c>
      <x:c r="I9" s="50" t="n">
        <x:f>'Latest_Snapshot'!I9*(1+'Assumptions'!E4)</x:f>
        <x:v>47705</x:v>
      </x:c>
      <x:c r="J9" s="45" t="n">
        <x:f>'Latest_Snapshot'!J9+'Assumptions'!F4</x:f>
        <x:v>-0.1221</x:v>
      </x:c>
      <x:c r="K9" s="48" t="n">
        <x:f>IFERROR(G9/ABS(H9),"")</x:f>
        <x:v>3.387287024901704</x:v>
      </x:c>
      <x:c r="L9" s="48" t="n">
        <x:f>IF(G9&lt;=0,"",I9/G9)</x:f>
        <x:v>9.229057844844263</x:v>
      </x:c>
      <x:c r="M9" s="48" t="n">
        <x:f>IFERROR(I9/F9,"")</x:f>
        <x:v>2.697178718833041</x:v>
      </x:c>
      <x:c r="N9" s="40" t="str">
        <x:f>IF(K9&lt;'Assumptions'!$C$24,"Critical debt-service pressure",IF(K9&lt;'Assumptions'!$B$24,"Tighter headroom","Within screen"))</x:f>
        <x:v>Within screen</x:v>
      </x:c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  <x:c r="AA9" s="73"/>
    </x:row>
    <x:row r="10">
      <x:c r="A10" s="38" t="str">
        <x:f>'Assumptions'!A4</x:f>
        <x:v>Base</x:v>
      </x:c>
      <x:c r="B10" s="38" t="str">
        <x:f>'Latest_Snapshot'!A10</x:f>
        <x:v>RELX</x:v>
      </x:c>
      <x:c r="C10" s="38" t="str">
        <x:f>'Latest_Snapshot'!B10</x:f>
        <x:v>REL</x:v>
      </x:c>
      <x:c r="D10" s="38" t="str">
        <x:f>'Latest_Snapshot'!C10</x:f>
        <x:v>Industrials &amp; Services</x:v>
      </x:c>
      <x:c r="E10" s="38" t="n">
        <x:f>'Latest_Snapshot'!E10</x:f>
        <x:v>2025</x:v>
      </x:c>
      <x:c r="F10" s="50" t="n">
        <x:f>'Latest_Snapshot'!F10*(1+'Assumptions'!B4)</x:f>
        <x:v>9590</x:v>
      </x:c>
      <x:c r="G10" s="50" t="n">
        <x:f>'Latest_Snapshot'!G10*(1+'Assumptions'!C4)</x:f>
        <x:v>2986</x:v>
      </x:c>
      <x:c r="H10" s="50" t="n">
        <x:f>'Latest_Snapshot'!H10*(1+'Assumptions'!D4)</x:f>
        <x:v>283</x:v>
      </x:c>
      <x:c r="I10" s="50" t="n">
        <x:f>'Latest_Snapshot'!I10*(1+'Assumptions'!E4)</x:f>
        <x:v>7267</x:v>
      </x:c>
      <x:c r="J10" s="45" t="n">
        <x:f>'Latest_Snapshot'!J10+'Assumptions'!F4</x:f>
        <x:v>0.2935</x:v>
      </x:c>
      <x:c r="K10" s="48" t="n">
        <x:f>IFERROR(G10/ABS(H10),"")</x:f>
        <x:v>10.551236749116608</x:v>
      </x:c>
      <x:c r="L10" s="48" t="n">
        <x:f>IF(G10&lt;=0,"",I10/G10)</x:f>
        <x:v>2.4336905559276625</x:v>
      </x:c>
      <x:c r="M10" s="48" t="n">
        <x:f>IFERROR(I10/F10,"")</x:f>
        <x:v>0.7577685088633994</x:v>
      </x:c>
      <x:c r="N10" s="40" t="str">
        <x:f>IF(K10&lt;'Assumptions'!$C$24,"Critical debt-service pressure",IF(K10&lt;'Assumptions'!$B$24,"Tighter headroom","Within screen"))</x:f>
        <x:v>Within screen</x:v>
      </x:c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  <x:c r="AA10" s="73"/>
    </x:row>
    <x:row r="11">
      <x:c r="A11" s="38" t="str">
        <x:f>'Assumptions'!A4</x:f>
        <x:v>Base</x:v>
      </x:c>
      <x:c r="B11" s="38" t="str">
        <x:f>'Latest_Snapshot'!A11</x:f>
        <x:v>Rentokil Initial</x:v>
      </x:c>
      <x:c r="C11" s="38" t="str">
        <x:f>'Latest_Snapshot'!B11</x:f>
        <x:v>RTO</x:v>
      </x:c>
      <x:c r="D11" s="38" t="str">
        <x:f>'Latest_Snapshot'!C11</x:f>
        <x:v>Industrials &amp; Services</x:v>
      </x:c>
      <x:c r="E11" s="38" t="n">
        <x:f>'Latest_Snapshot'!E11</x:f>
        <x:v>2025</x:v>
      </x:c>
      <x:c r="F11" s="50" t="n">
        <x:f>'Latest_Snapshot'!F11*(1+'Assumptions'!B4)</x:f>
        <x:v>6908</x:v>
      </x:c>
      <x:c r="G11" s="50" t="n">
        <x:f>'Latest_Snapshot'!G11*(1+'Assumptions'!C4)</x:f>
        <x:v>877</x:v>
      </x:c>
      <x:c r="H11" s="50" t="n">
        <x:f>'Latest_Snapshot'!H11*(1+'Assumptions'!D4)</x:f>
        <x:v>237</x:v>
      </x:c>
      <x:c r="I11" s="50" t="n">
        <x:f>'Latest_Snapshot'!I11*(1+'Assumptions'!E4)</x:f>
        <x:v>6153</x:v>
      </x:c>
      <x:c r="J11" s="45" t="n">
        <x:f>'Latest_Snapshot'!J11+'Assumptions'!F4</x:f>
        <x:v>0.1106</x:v>
      </x:c>
      <x:c r="K11" s="48" t="n">
        <x:f>IFERROR(G11/ABS(H11),"")</x:f>
        <x:v>3.70042194092827</x:v>
      </x:c>
      <x:c r="L11" s="48" t="n">
        <x:f>IF(G11&lt;=0,"",I11/G11)</x:f>
        <x:v>7.015963511972634</x:v>
      </x:c>
      <x:c r="M11" s="48" t="n">
        <x:f>IFERROR(I11/F11,"")</x:f>
        <x:v>0.8907064273306311</x:v>
      </x:c>
      <x:c r="N11" s="40" t="str">
        <x:f>IF(K11&lt;'Assumptions'!$C$24,"Critical debt-service pressure",IF(K11&lt;'Assumptions'!$B$24,"Tighter headroom","Within screen"))</x:f>
        <x:v>Within screen</x:v>
      </x:c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  <x:c r="AA11" s="73"/>
    </x:row>
    <x:row r="12">
      <x:c r="A12" s="38" t="str">
        <x:f>'Assumptions'!A4</x:f>
        <x:v>Base</x:v>
      </x:c>
      <x:c r="B12" s="38" t="str">
        <x:f>'Latest_Snapshot'!A12</x:f>
        <x:v>Rolls-Royce</x:v>
      </x:c>
      <x:c r="C12" s="38" t="str">
        <x:f>'Latest_Snapshot'!B12</x:f>
        <x:v>RR</x:v>
      </x:c>
      <x:c r="D12" s="38" t="str">
        <x:f>'Latest_Snapshot'!C12</x:f>
        <x:v>Industrials &amp; Services</x:v>
      </x:c>
      <x:c r="E12" s="38" t="n">
        <x:f>'Latest_Snapshot'!E12</x:f>
        <x:v>2025</x:v>
      </x:c>
      <x:c r="F12" s="50" t="n">
        <x:f>'Latest_Snapshot'!F12*(1+'Assumptions'!B4)</x:f>
        <x:v>21207</x:v>
      </x:c>
      <x:c r="G12" s="50" t="n">
        <x:f>'Latest_Snapshot'!G12*(1+'Assumptions'!C4)</x:f>
        <x:v>4468</x:v>
      </x:c>
      <x:c r="H12" s="50" t="n">
        <x:f>'Latest_Snapshot'!H12*(1+'Assumptions'!D4)</x:f>
        <x:v>479</x:v>
      </x:c>
      <x:c r="I12" s="50" t="n">
        <x:f>'Latest_Snapshot'!I12*(1+'Assumptions'!E4)</x:f>
        <x:v>5192</x:v>
      </x:c>
      <x:c r="J12" s="45" t="n">
        <x:f>'Latest_Snapshot'!J12+'Assumptions'!F4</x:f>
        <x:v>0.186</x:v>
      </x:c>
      <x:c r="K12" s="48" t="n">
        <x:f>IFERROR(G12/ABS(H12),"")</x:f>
        <x:v>9.32776617954071</x:v>
      </x:c>
      <x:c r="L12" s="48" t="n">
        <x:f>IF(G12&lt;=0,"",I12/G12)</x:f>
        <x:v>1.162041181736795</x:v>
      </x:c>
      <x:c r="M12" s="48" t="n">
        <x:f>IFERROR(I12/F12,"")</x:f>
        <x:v>0.24482482199273825</x:v>
      </x:c>
      <x:c r="N12" s="40" t="str">
        <x:f>IF(K12&lt;'Assumptions'!$C$24,"Critical debt-service pressure",IF(K12&lt;'Assumptions'!$B$24,"Tighter headroom","Within screen"))</x:f>
        <x:v>Within screen</x:v>
      </x:c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  <x:c r="AA12" s="73"/>
    </x:row>
    <x:row r="13">
      <x:c r="A13" s="38" t="str">
        <x:f>'Assumptions'!A4</x:f>
        <x:v>Base</x:v>
      </x:c>
      <x:c r="B13" s="38" t="str">
        <x:f>'Latest_Snapshot'!A13</x:f>
        <x:v>SSE</x:v>
      </x:c>
      <x:c r="C13" s="38" t="str">
        <x:f>'Latest_Snapshot'!B13</x:f>
        <x:v>SSE</x:v>
      </x:c>
      <x:c r="D13" s="38" t="str">
        <x:f>'Latest_Snapshot'!C13</x:f>
        <x:v>Utilities</x:v>
      </x:c>
      <x:c r="E13" s="38" t="n">
        <x:f>'Latest_Snapshot'!E13</x:f>
        <x:v>2026</x:v>
      </x:c>
      <x:c r="F13" s="50" t="n">
        <x:f>'Latest_Snapshot'!F13*(1+'Assumptions'!B4)</x:f>
        <x:v>10187</x:v>
      </x:c>
      <x:c r="G13" s="50" t="n">
        <x:f>'Latest_Snapshot'!G13*(1+'Assumptions'!C4)</x:f>
        <x:v>1889</x:v>
      </x:c>
      <x:c r="H13" s="50" t="n">
        <x:f>'Latest_Snapshot'!H13*(1+'Assumptions'!D4)</x:f>
        <x:v>310.4</x:v>
      </x:c>
      <x:c r="I13" s="50" t="n">
        <x:f>'Latest_Snapshot'!I13*(1+'Assumptions'!E4)</x:f>
        <x:v>10121</x:v>
      </x:c>
      <x:c r="J13" s="45" t="n">
        <x:f>'Latest_Snapshot'!J13+'Assumptions'!F4</x:f>
        <x:v>-0.0699</x:v>
      </x:c>
      <x:c r="K13" s="48" t="n">
        <x:f>IFERROR(G13/ABS(H13),"")</x:f>
        <x:v>6.085695876288661</x:v>
      </x:c>
      <x:c r="L13" s="48" t="n">
        <x:f>IF(G13&lt;=0,"",I13/G13)</x:f>
        <x:v>5.357861302276337</x:v>
      </x:c>
      <x:c r="M13" s="48" t="n">
        <x:f>IFERROR(I13/F13,"")</x:f>
        <x:v>0.9935211544124865</x:v>
      </x:c>
      <x:c r="N13" s="40" t="str">
        <x:f>IF(K13&lt;'Assumptions'!$C$24,"Critical debt-service pressure",IF(K13&lt;'Assumptions'!$B$24,"Tighter headroom","Within screen"))</x:f>
        <x:v>Within screen</x:v>
      </x:c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  <x:c r="AA13" s="73"/>
    </x:row>
    <x:row r="14">
      <x:c r="A14" s="38" t="str">
        <x:f>'Assumptions'!A4</x:f>
        <x:v>Base</x:v>
      </x:c>
      <x:c r="B14" s="38" t="str">
        <x:f>'Latest_Snapshot'!A14</x:f>
        <x:v>Smith &amp; Nephew</x:v>
      </x:c>
      <x:c r="C14" s="38" t="str">
        <x:f>'Latest_Snapshot'!B14</x:f>
        <x:v>SN</x:v>
      </x:c>
      <x:c r="D14" s="38" t="str">
        <x:f>'Latest_Snapshot'!C14</x:f>
        <x:v>Healthcare</x:v>
      </x:c>
      <x:c r="E14" s="38" t="n">
        <x:f>'Latest_Snapshot'!E14</x:f>
        <x:v>2025</x:v>
      </x:c>
      <x:c r="F14" s="50" t="n">
        <x:f>'Latest_Snapshot'!F14*(1+'Assumptions'!B4)</x:f>
        <x:v>6164</x:v>
      </x:c>
      <x:c r="G14" s="50" t="n">
        <x:f>'Latest_Snapshot'!G14*(1+'Assumptions'!C4)</x:f>
        <x:v>877</x:v>
      </x:c>
      <x:c r="H14" s="50" t="n">
        <x:f>'Latest_Snapshot'!H14*(1+'Assumptions'!D4)</x:f>
        <x:v>140</x:v>
      </x:c>
      <x:c r="I14" s="50" t="n">
        <x:f>'Latest_Snapshot'!I14*(1+'Assumptions'!E4)</x:f>
        <x:v>3327</x:v>
      </x:c>
      <x:c r="J14" s="45" t="n">
        <x:f>'Latest_Snapshot'!J14+'Assumptions'!F4</x:f>
        <x:v>0.1382</x:v>
      </x:c>
      <x:c r="K14" s="48" t="n">
        <x:f>IFERROR(G14/ABS(H14),"")</x:f>
        <x:v>6.264285714285714</x:v>
      </x:c>
      <x:c r="L14" s="48" t="n">
        <x:f>IF(G14&lt;=0,"",I14/G14)</x:f>
        <x:v>3.7936145952109466</x:v>
      </x:c>
      <x:c r="M14" s="48" t="n">
        <x:f>IFERROR(I14/F14,"")</x:f>
        <x:v>0.5397469175859831</x:v>
      </x:c>
      <x:c r="N14" s="40" t="str">
        <x:f>IF(K14&lt;'Assumptions'!$C$24,"Critical debt-service pressure",IF(K14&lt;'Assumptions'!$B$24,"Tighter headroom","Within screen"))</x:f>
        <x:v>Within screen</x:v>
      </x:c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  <x:c r="AA14" s="73"/>
    </x:row>
    <x:row r="15">
      <x:c r="A15" s="38" t="str">
        <x:f>'Assumptions'!A4</x:f>
        <x:v>Base</x:v>
      </x:c>
      <x:c r="B15" s="38" t="str">
        <x:f>'Latest_Snapshot'!A15</x:f>
        <x:v>Tesco</x:v>
      </x:c>
      <x:c r="C15" s="38" t="str">
        <x:f>'Latest_Snapshot'!B15</x:f>
        <x:v>TSCO</x:v>
      </x:c>
      <x:c r="D15" s="38" t="str">
        <x:f>'Latest_Snapshot'!C15</x:f>
        <x:v>Consumer &amp; Retail</x:v>
      </x:c>
      <x:c r="E15" s="38" t="n">
        <x:f>'Latest_Snapshot'!E15</x:f>
        <x:v>2025</x:v>
      </x:c>
      <x:c r="F15" s="50" t="n">
        <x:f>'Latest_Snapshot'!F15*(1+'Assumptions'!B4)</x:f>
        <x:v>69916</x:v>
      </x:c>
      <x:c r="G15" s="50" t="n">
        <x:f>'Latest_Snapshot'!G15*(1+'Assumptions'!C4)</x:f>
        <x:v>2999</x:v>
      </x:c>
      <x:c r="H15" s="50" t="n">
        <x:f>'Latest_Snapshot'!H15*(1+'Assumptions'!D4)</x:f>
        <x:v>769</x:v>
      </x:c>
      <x:c r="I15" s="50" t="n">
        <x:f>'Latest_Snapshot'!I15*(1+'Assumptions'!E4)</x:f>
        <x:v>14666</x:v>
      </x:c>
      <x:c r="J15" s="45" t="n">
        <x:f>'Latest_Snapshot'!J15+'Assumptions'!F4</x:f>
        <x:v>0.024</x:v>
      </x:c>
      <x:c r="K15" s="48" t="n">
        <x:f>IFERROR(G15/ABS(H15),"")</x:f>
        <x:v>3.8998699609882963</x:v>
      </x:c>
      <x:c r="L15" s="48" t="n">
        <x:f>IF(G15&lt;=0,"",I15/G15)</x:f>
        <x:v>4.89029676558853</x:v>
      </x:c>
      <x:c r="M15" s="48" t="n">
        <x:f>IFERROR(I15/F15,"")</x:f>
        <x:v>0.20976600492018993</x:v>
      </x:c>
      <x:c r="N15" s="40" t="str">
        <x:f>IF(K15&lt;'Assumptions'!$C$24,"Critical debt-service pressure",IF(K15&lt;'Assumptions'!$B$24,"Tighter headroom","Within screen"))</x:f>
        <x:v>Within screen</x:v>
      </x:c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  <x:c r="AA15" s="73"/>
    </x:row>
    <x:row r="16">
      <x:c r="A16" s="38" t="str">
        <x:f>'Assumptions'!A4</x:f>
        <x:v>Base</x:v>
      </x:c>
      <x:c r="B16" s="38" t="str">
        <x:f>'Latest_Snapshot'!A16</x:f>
        <x:v>Unilever</x:v>
      </x:c>
      <x:c r="C16" s="38" t="str">
        <x:f>'Latest_Snapshot'!B16</x:f>
        <x:v>ULVR</x:v>
      </x:c>
      <x:c r="D16" s="38" t="str">
        <x:f>'Latest_Snapshot'!C16</x:f>
        <x:v>Consumer &amp; Retail</x:v>
      </x:c>
      <x:c r="E16" s="38" t="n">
        <x:f>'Latest_Snapshot'!E16</x:f>
        <x:v>2025</x:v>
      </x:c>
      <x:c r="F16" s="50" t="n">
        <x:f>'Latest_Snapshot'!F16*(1+'Assumptions'!B4)</x:f>
        <x:v>50503</x:v>
      </x:c>
      <x:c r="G16" s="50" t="n">
        <x:f>'Latest_Snapshot'!G16*(1+'Assumptions'!C4)</x:f>
        <x:v>10127</x:v>
      </x:c>
      <x:c r="H16" s="50" t="n">
        <x:f>'Latest_Snapshot'!H16*(1+'Assumptions'!D4)</x:f>
        <x:v>1098</x:v>
      </x:c>
      <x:c r="I16" s="50" t="n">
        <x:f>'Latest_Snapshot'!I16*(1+'Assumptions'!E4)</x:f>
        <x:v>28278</x:v>
      </x:c>
      <x:c r="J16" s="45" t="n">
        <x:f>'Latest_Snapshot'!J16+'Assumptions'!F4</x:f>
        <x:v>0.1373</x:v>
      </x:c>
      <x:c r="K16" s="48" t="n">
        <x:f>IFERROR(G16/ABS(H16),"")</x:f>
        <x:v>9.223132969034609</x:v>
      </x:c>
      <x:c r="L16" s="48" t="n">
        <x:f>IF(G16&lt;=0,"",I16/G16)</x:f>
        <x:v>2.7923373160857117</x:v>
      </x:c>
      <x:c r="M16" s="48" t="n">
        <x:f>IFERROR(I16/F16,"")</x:f>
        <x:v>0.5599271330416015</x:v>
      </x:c>
      <x:c r="N16" s="40" t="str">
        <x:f>IF(K16&lt;'Assumptions'!$C$24,"Critical debt-service pressure",IF(K16&lt;'Assumptions'!$B$24,"Tighter headroom","Within screen"))</x:f>
        <x:v>Within screen</x:v>
      </x:c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  <x:c r="AA16" s="73"/>
    </x:row>
    <x:row r="17">
      <x:c r="A17" s="38" t="str">
        <x:f>'Assumptions'!A4</x:f>
        <x:v>Base</x:v>
      </x:c>
      <x:c r="B17" s="38" t="str">
        <x:f>'Latest_Snapshot'!A17</x:f>
        <x:v>United Utilities</x:v>
      </x:c>
      <x:c r="C17" s="38" t="str">
        <x:f>'Latest_Snapshot'!B17</x:f>
        <x:v>UU</x:v>
      </x:c>
      <x:c r="D17" s="38" t="str">
        <x:f>'Latest_Snapshot'!C17</x:f>
        <x:v>Utilities</x:v>
      </x:c>
      <x:c r="E17" s="38" t="n">
        <x:f>'Latest_Snapshot'!E17</x:f>
        <x:v>2026</x:v>
      </x:c>
      <x:c r="F17" s="50" t="n">
        <x:f>'Latest_Snapshot'!F17*(1+'Assumptions'!B4)</x:f>
        <x:v>2616</x:v>
      </x:c>
      <x:c r="G17" s="50" t="n">
        <x:f>'Latest_Snapshot'!G17*(1+'Assumptions'!C4)</x:f>
        <x:v>1099</x:v>
      </x:c>
      <x:c r="H17" s="50" t="n">
        <x:f>'Latest_Snapshot'!H17*(1+'Assumptions'!D4)</x:f>
        <x:v>415.7</x:v>
      </x:c>
      <x:c r="I17" s="50" t="n">
        <x:f>'Latest_Snapshot'!I17*(1+'Assumptions'!E4)</x:f>
        <x:v>11490.9</x:v>
      </x:c>
      <x:c r="J17" s="45" t="n">
        <x:f>'Latest_Snapshot'!J17+'Assumptions'!F4</x:f>
        <x:v>-0.042</x:v>
      </x:c>
      <x:c r="K17" s="48" t="n">
        <x:f>IFERROR(G17/ABS(H17),"")</x:f>
        <x:v>2.6437334616309838</x:v>
      </x:c>
      <x:c r="L17" s="48" t="n">
        <x:f>IF(G17&lt;=0,"",I17/G17)</x:f>
        <x:v>10.455777979981802</x:v>
      </x:c>
      <x:c r="M17" s="48" t="n">
        <x:f>IFERROR(I17/F17,"")</x:f>
        <x:v>4.392545871559633</x:v>
      </x:c>
      <x:c r="N17" s="40" t="str">
        <x:f>IF(K17&lt;'Assumptions'!$C$24,"Critical debt-service pressure",IF(K17&lt;'Assumptions'!$B$24,"Tighter headroom","Within screen"))</x:f>
        <x:v>Within screen</x:v>
      </x:c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  <x:c r="AA17" s="73"/>
    </x:row>
    <x:row r="18">
      <x:c r="A18" s="38" t="str">
        <x:f>'Assumptions'!A4</x:f>
        <x:v>Base</x:v>
      </x:c>
      <x:c r="B18" s="38" t="str">
        <x:f>'Latest_Snapshot'!A18</x:f>
        <x:v>Vodafone</x:v>
      </x:c>
      <x:c r="C18" s="38" t="str">
        <x:f>'Latest_Snapshot'!B18</x:f>
        <x:v>VOD</x:v>
      </x:c>
      <x:c r="D18" s="38" t="str">
        <x:f>'Latest_Snapshot'!C18</x:f>
        <x:v>Telecom</x:v>
      </x:c>
      <x:c r="E18" s="38" t="n">
        <x:f>'Latest_Snapshot'!E18</x:f>
        <x:v>2026</x:v>
      </x:c>
      <x:c r="F18" s="50" t="n">
        <x:f>'Latest_Snapshot'!F18*(1+'Assumptions'!B4)</x:f>
        <x:v>40461</x:v>
      </x:c>
      <x:c r="G18" s="50" t="n">
        <x:f>'Latest_Snapshot'!G18*(1+'Assumptions'!C4)</x:f>
        <x:v>3149</x:v>
      </x:c>
      <x:c r="H18" s="50" t="n">
        <x:f>'Latest_Snapshot'!H18*(1+'Assumptions'!D4)</x:f>
        <x:v>2214</x:v>
      </x:c>
      <x:c r="I18" s="50" t="n">
        <x:f>'Latest_Snapshot'!I18*(1+'Assumptions'!E4)</x:f>
        <x:v>54448</x:v>
      </x:c>
      <x:c r="J18" s="45" t="n">
        <x:f>'Latest_Snapshot'!J18+'Assumptions'!F4</x:f>
        <x:v>0.2328</x:v>
      </x:c>
      <x:c r="K18" s="48" t="n">
        <x:f>IFERROR(G18/ABS(H18),"")</x:f>
        <x:v>1.4223125564588979</x:v>
      </x:c>
      <x:c r="L18" s="48" t="n">
        <x:f>IF(G18&lt;=0,"",I18/G18)</x:f>
        <x:v>17.290568434423626</x:v>
      </x:c>
      <x:c r="M18" s="48" t="n">
        <x:f>IFERROR(I18/F18,"")</x:f>
        <x:v>1.3456909122364746</x:v>
      </x:c>
      <x:c r="N18" s="40" t="str">
        <x:f>IF(K18&lt;'Assumptions'!$C$24,"Critical debt-service pressure",IF(K18&lt;'Assumptions'!$B$24,"Tighter headroom","Within screen"))</x:f>
        <x:v>Tighter headroom</x:v>
      </x:c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  <x:c r="AA18" s="73"/>
    </x:row>
    <x:row r="19">
      <x:c r="A19" s="38" t="str">
        <x:f>'Assumptions'!A5</x:f>
        <x:v>Downside</x:v>
      </x:c>
      <x:c r="B19" s="38" t="str">
        <x:f>'Latest_Snapshot'!A4</x:f>
        <x:v>AstraZeneca</x:v>
      </x:c>
      <x:c r="C19" s="38" t="str">
        <x:f>'Latest_Snapshot'!B4</x:f>
        <x:v>AZN</x:v>
      </x:c>
      <x:c r="D19" s="38" t="str">
        <x:f>'Latest_Snapshot'!C4</x:f>
        <x:v>Healthcare</x:v>
      </x:c>
      <x:c r="E19" s="38" t="n">
        <x:f>'Latest_Snapshot'!E4</x:f>
        <x:v>2025</x:v>
      </x:c>
      <x:c r="F19" s="50" t="n">
        <x:f>'Latest_Snapshot'!F4*(1+'Assumptions'!B5)</x:f>
        <x:v>55802.049999999996</x:v>
      </x:c>
      <x:c r="G19" s="50" t="n">
        <x:f>'Latest_Snapshot'!G4*(1+'Assumptions'!C5)</x:f>
        <x:v>12862.800000000001</x:v>
      </x:c>
      <x:c r="H19" s="50" t="n">
        <x:f>'Latest_Snapshot'!H4*(1+'Assumptions'!D5)</x:f>
        <x:v>1501.5000000000002</x:v>
      </x:c>
      <x:c r="I19" s="50" t="n">
        <x:f>'Latest_Snapshot'!I4*(1+'Assumptions'!E5)</x:f>
        <x:v>31188.15</x:v>
      </x:c>
      <x:c r="J19" s="45" t="n">
        <x:f>'Latest_Snapshot'!J4+'Assumptions'!F5</x:f>
        <x:v>0.1703</x:v>
      </x:c>
      <x:c r="K19" s="48" t="n">
        <x:f>IFERROR(G19/ABS(H19),"")</x:f>
        <x:v>8.566633366633367</x:v>
      </x:c>
      <x:c r="L19" s="48" t="n">
        <x:f>IF(G19&lt;=0,"",I19/G19)</x:f>
        <x:v>2.424678141617688</x:v>
      </x:c>
      <x:c r="M19" s="48" t="n">
        <x:f>IFERROR(I19/F19,"")</x:f>
        <x:v>0.558906886037341</x:v>
      </x:c>
      <x:c r="N19" s="40" t="str">
        <x:f>IF(K19&lt;'Assumptions'!$C$24,"Critical debt-service pressure",IF(K19&lt;'Assumptions'!$B$24,"Tighter headroom","Within screen"))</x:f>
        <x:v>Within screen</x:v>
      </x:c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  <x:c r="AA19" s="73"/>
    </x:row>
    <x:row r="20">
      <x:c r="A20" s="38" t="str">
        <x:f>'Assumptions'!A5</x:f>
        <x:v>Downside</x:v>
      </x:c>
      <x:c r="B20" s="38" t="str">
        <x:f>'Latest_Snapshot'!A5</x:f>
        <x:v>BT Group</x:v>
      </x:c>
      <x:c r="C20" s="38" t="str">
        <x:f>'Latest_Snapshot'!B5</x:f>
        <x:v>BT.A</x:v>
      </x:c>
      <x:c r="D20" s="38" t="str">
        <x:f>'Latest_Snapshot'!C5</x:f>
        <x:v>Telecom</x:v>
      </x:c>
      <x:c r="E20" s="38" t="n">
        <x:f>'Latest_Snapshot'!E5</x:f>
        <x:v>2026</x:v>
      </x:c>
      <x:c r="F20" s="50" t="n">
        <x:f>'Latest_Snapshot'!F5*(1+'Assumptions'!B5)</x:f>
        <x:v>18671.3</x:v>
      </x:c>
      <x:c r="G20" s="50" t="n">
        <x:f>'Latest_Snapshot'!G5*(1+'Assumptions'!C5)</x:f>
        <x:v>2607.3</x:v>
      </x:c>
      <x:c r="H20" s="50" t="n">
        <x:f>'Latest_Snapshot'!H5*(1+'Assumptions'!D5)</x:f>
        <x:v>1536.7</x:v>
      </x:c>
      <x:c r="I20" s="50" t="n">
        <x:f>'Latest_Snapshot'!I5*(1+'Assumptions'!E5)</x:f>
        <x:v>23856</x:v>
      </x:c>
      <x:c r="J20" s="45" t="n">
        <x:f>'Latest_Snapshot'!J5+'Assumptions'!F5</x:f>
        <x:v>0.06470000000000001</x:v>
      </x:c>
      <x:c r="K20" s="48" t="n">
        <x:f>IFERROR(G20/ABS(H20),"")</x:f>
        <x:v>1.6966877074250017</x:v>
      </x:c>
      <x:c r="L20" s="48" t="n">
        <x:f>IF(G20&lt;=0,"",I20/G20)</x:f>
        <x:v>9.149695086871475</x:v>
      </x:c>
      <x:c r="M20" s="48" t="n">
        <x:f>IFERROR(I20/F20,"")</x:f>
        <x:v>1.277682860861322</x:v>
      </x:c>
      <x:c r="N20" s="40" t="str">
        <x:f>IF(K20&lt;'Assumptions'!$C$24,"Critical debt-service pressure",IF(K20&lt;'Assumptions'!$B$24,"Tighter headroom","Within screen"))</x:f>
        <x:v>Tighter headroom</x:v>
      </x:c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</x:row>
    <x:row r="21">
      <x:c r="A21" s="38" t="str">
        <x:f>'Assumptions'!A5</x:f>
        <x:v>Downside</x:v>
      </x:c>
      <x:c r="B21" s="38" t="str">
        <x:f>'Latest_Snapshot'!A6</x:f>
        <x:v>Compass Group</x:v>
      </x:c>
      <x:c r="C21" s="38" t="str">
        <x:f>'Latest_Snapshot'!B6</x:f>
        <x:v>CPG</x:v>
      </x:c>
      <x:c r="D21" s="38" t="str">
        <x:f>'Latest_Snapshot'!C6</x:f>
        <x:v>Industrials &amp; Services</x:v>
      </x:c>
      <x:c r="E21" s="38" t="n">
        <x:f>'Latest_Snapshot'!E6</x:f>
        <x:v>2025</x:v>
      </x:c>
      <x:c r="F21" s="50" t="n">
        <x:f>'Latest_Snapshot'!F6*(1+'Assumptions'!B5)</x:f>
        <x:v>43766.5</x:v>
      </x:c>
      <x:c r="G21" s="50" t="n">
        <x:f>'Latest_Snapshot'!G6*(1+'Assumptions'!C5)</x:f>
        <x:v>2667.6</x:v>
      </x:c>
      <x:c r="H21" s="50" t="n">
        <x:f>'Latest_Snapshot'!H6*(1+'Assumptions'!D5)</x:f>
        <x:v>471.90000000000003</x:v>
      </x:c>
      <x:c r="I21" s="50" t="n">
        <x:f>'Latest_Snapshot'!I6*(1+'Assumptions'!E5)</x:f>
        <x:v>7341.6</x:v>
      </x:c>
      <x:c r="J21" s="45" t="n">
        <x:f>'Latest_Snapshot'!J6+'Assumptions'!F5</x:f>
        <x:v>0.0312</x:v>
      </x:c>
      <x:c r="K21" s="48" t="n">
        <x:f>IFERROR(G21/ABS(H21),"")</x:f>
        <x:v>5.652892561983471</x:v>
      </x:c>
      <x:c r="L21" s="48" t="n">
        <x:f>IF(G21&lt;=0,"",I21/G21)</x:f>
        <x:v>2.7521367521367526</x:v>
      </x:c>
      <x:c r="M21" s="48" t="n">
        <x:f>IFERROR(I21/F21,"")</x:f>
        <x:v>0.16774473627089212</x:v>
      </x:c>
      <x:c r="N21" s="40" t="str">
        <x:f>IF(K21&lt;'Assumptions'!$C$24,"Critical debt-service pressure",IF(K21&lt;'Assumptions'!$B$24,"Tighter headroom","Within screen"))</x:f>
        <x:v>Within screen</x:v>
      </x:c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  <x:c r="AA21" s="73"/>
    </x:row>
    <x:row r="22">
      <x:c r="A22" s="38" t="str">
        <x:f>'Assumptions'!A5</x:f>
        <x:v>Downside</x:v>
      </x:c>
      <x:c r="B22" s="38" t="str">
        <x:f>'Latest_Snapshot'!A7</x:f>
        <x:v>Diageo</x:v>
      </x:c>
      <x:c r="C22" s="38" t="str">
        <x:f>'Latest_Snapshot'!B7</x:f>
        <x:v>DGE</x:v>
      </x:c>
      <x:c r="D22" s="38" t="str">
        <x:f>'Latest_Snapshot'!C7</x:f>
        <x:v>Consumer &amp; Retail</x:v>
      </x:c>
      <x:c r="E22" s="38" t="n">
        <x:f>'Latest_Snapshot'!E7</x:f>
        <x:v>2026</x:v>
      </x:c>
      <x:c r="F22" s="50" t="n">
        <x:f>'Latest_Snapshot'!F7*(1+'Assumptions'!B5)</x:f>
        <x:v>18660.85</x:v>
      </x:c>
      <x:c r="G22" s="50" t="n">
        <x:f>'Latest_Snapshot'!G7*(1+'Assumptions'!C5)</x:f>
        <x:v>5556.6</x:v>
      </x:c>
      <x:c r="H22" s="50" t="n">
        <x:f>'Latest_Snapshot'!H7*(1+'Assumptions'!D5)</x:f>
        <x:v>1235.3000000000002</x:v>
      </x:c>
      <x:c r="I22" s="50" t="n">
        <x:f>'Latest_Snapshot'!I7*(1+'Assumptions'!E5)</x:f>
        <x:v>23422.350000000002</x:v>
      </x:c>
      <x:c r="J22" s="45" t="n">
        <x:f>'Latest_Snapshot'!J7+'Assumptions'!F5</x:f>
        <x:v>0.11779999999999999</x:v>
      </x:c>
      <x:c r="K22" s="48" t="n">
        <x:f>IFERROR(G22/ABS(H22),"")</x:f>
        <x:v>4.498178580102</x:v>
      </x:c>
      <x:c r="L22" s="48" t="n">
        <x:f>IF(G22&lt;=0,"",I22/G22)</x:f>
        <x:v>4.215230536659108</x:v>
      </x:c>
      <x:c r="M22" s="48" t="n">
        <x:f>IFERROR(I22/F22,"")</x:f>
        <x:v>1.2551598667799164</x:v>
      </x:c>
      <x:c r="N22" s="40" t="str">
        <x:f>IF(K22&lt;'Assumptions'!$C$24,"Critical debt-service pressure",IF(K22&lt;'Assumptions'!$B$24,"Tighter headroom","Within screen"))</x:f>
        <x:v>Within screen</x:v>
      </x:c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  <x:c r="AA22" s="73"/>
    </x:row>
    <x:row r="23">
      <x:c r="A23" s="38" t="str">
        <x:f>'Assumptions'!A5</x:f>
        <x:v>Downside</x:v>
      </x:c>
      <x:c r="B23" s="38" t="str">
        <x:f>'Latest_Snapshot'!A8</x:f>
        <x:v>GSK</x:v>
      </x:c>
      <x:c r="C23" s="38" t="str">
        <x:f>'Latest_Snapshot'!B8</x:f>
        <x:v>GSK</x:v>
      </x:c>
      <x:c r="D23" s="38" t="str">
        <x:f>'Latest_Snapshot'!C8</x:f>
        <x:v>Healthcare</x:v>
      </x:c>
      <x:c r="E23" s="38" t="n">
        <x:f>'Latest_Snapshot'!E8</x:f>
        <x:v>2025</x:v>
      </x:c>
      <x:c r="F23" s="50" t="n">
        <x:f>'Latest_Snapshot'!F8*(1+'Assumptions'!B5)</x:f>
        <x:v>31033.649999999998</x:v>
      </x:c>
      <x:c r="G23" s="50" t="n">
        <x:f>'Latest_Snapshot'!G8*(1+'Assumptions'!C5)</x:f>
        <x:v>8502.300000000001</x:v>
      </x:c>
      <x:c r="H23" s="50" t="n">
        <x:f>'Latest_Snapshot'!H8*(1+'Assumptions'!D5)</x:f>
        <x:v>723.8000000000001</x:v>
      </x:c>
      <x:c r="I23" s="50" t="n">
        <x:f>'Latest_Snapshot'!I8*(1+'Assumptions'!E5)</x:f>
        <x:v>18676.350000000002</x:v>
      </x:c>
      <x:c r="J23" s="45" t="n">
        <x:f>'Latest_Snapshot'!J8+'Assumptions'!F5</x:f>
        <x:v>0.16570000000000001</x:v>
      </x:c>
      <x:c r="K23" s="48" t="n">
        <x:f>IFERROR(G23/ABS(H23),"")</x:f>
        <x:v>11.746753246753247</x:v>
      </x:c>
      <x:c r="L23" s="48" t="n">
        <x:f>IF(G23&lt;=0,"",I23/G23)</x:f>
        <x:v>2.196623266645496</x:v>
      </x:c>
      <x:c r="M23" s="48" t="n">
        <x:f>IFERROR(I23/F23,"")</x:f>
        <x:v>0.6018096485589031</x:v>
      </x:c>
      <x:c r="N23" s="40" t="str">
        <x:f>IF(K23&lt;'Assumptions'!$C$24,"Critical debt-service pressure",IF(K23&lt;'Assumptions'!$B$24,"Tighter headroom","Within screen"))</x:f>
        <x:v>Within screen</x:v>
      </x:c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  <x:c r="AA23" s="73"/>
    </x:row>
    <x:row r="24">
      <x:c r="A24" s="38" t="str">
        <x:f>'Assumptions'!A5</x:f>
        <x:v>Downside</x:v>
      </x:c>
      <x:c r="B24" s="38" t="str">
        <x:f>'Latest_Snapshot'!A9</x:f>
        <x:v>National Grid</x:v>
      </x:c>
      <x:c r="C24" s="38" t="str">
        <x:f>'Latest_Snapshot'!B9</x:f>
        <x:v>NG</x:v>
      </x:c>
      <x:c r="D24" s="38" t="str">
        <x:f>'Latest_Snapshot'!C9</x:f>
        <x:v>Utilities</x:v>
      </x:c>
      <x:c r="E24" s="38" t="n">
        <x:f>'Latest_Snapshot'!E9</x:f>
        <x:v>2026</x:v>
      </x:c>
      <x:c r="F24" s="50" t="n">
        <x:f>'Latest_Snapshot'!F9*(1+'Assumptions'!B5)</x:f>
        <x:v>16802.649999999998</x:v>
      </x:c>
      <x:c r="G24" s="50" t="n">
        <x:f>'Latest_Snapshot'!G9*(1+'Assumptions'!C5)</x:f>
        <x:v>4652.1</x:v>
      </x:c>
      <x:c r="H24" s="50" t="n">
        <x:f>'Latest_Snapshot'!H9*(1+'Assumptions'!D5)</x:f>
        <x:v>1678.6000000000001</x:v>
      </x:c>
      <x:c r="I24" s="50" t="n">
        <x:f>'Latest_Snapshot'!I9*(1+'Assumptions'!E5)</x:f>
        <x:v>50090.25</x:v>
      </x:c>
      <x:c r="J24" s="45" t="n">
        <x:f>'Latest_Snapshot'!J9+'Assumptions'!F5</x:f>
        <x:v>-0.1521</x:v>
      </x:c>
      <x:c r="K24" s="48" t="n">
        <x:f>IFERROR(G24/ABS(H24),"")</x:f>
        <x:v>2.771416656737758</x:v>
      </x:c>
      <x:c r="L24" s="48" t="n">
        <x:f>IF(G24&lt;=0,"",I24/G24)</x:f>
        <x:v>10.767234152318307</x:v>
      </x:c>
      <x:c r="M24" s="48" t="n">
        <x:f>IFERROR(I24/F24,"")</x:f>
        <x:v>2.981092268183888</x:v>
      </x:c>
      <x:c r="N24" s="40" t="str">
        <x:f>IF(K24&lt;'Assumptions'!$C$24,"Critical debt-service pressure",IF(K24&lt;'Assumptions'!$B$24,"Tighter headroom","Within screen"))</x:f>
        <x:v>Within screen</x:v>
      </x:c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  <x:c r="AA24" s="73"/>
    </x:row>
    <x:row r="25">
      <x:c r="A25" s="38" t="str">
        <x:f>'Assumptions'!A5</x:f>
        <x:v>Downside</x:v>
      </x:c>
      <x:c r="B25" s="38" t="str">
        <x:f>'Latest_Snapshot'!A10</x:f>
        <x:v>RELX</x:v>
      </x:c>
      <x:c r="C25" s="38" t="str">
        <x:f>'Latest_Snapshot'!B10</x:f>
        <x:v>REL</x:v>
      </x:c>
      <x:c r="D25" s="38" t="str">
        <x:f>'Latest_Snapshot'!C10</x:f>
        <x:v>Industrials &amp; Services</x:v>
      </x:c>
      <x:c r="E25" s="38" t="n">
        <x:f>'Latest_Snapshot'!E10</x:f>
        <x:v>2025</x:v>
      </x:c>
      <x:c r="F25" s="50" t="n">
        <x:f>'Latest_Snapshot'!F10*(1+'Assumptions'!B5)</x:f>
        <x:v>9110.5</x:v>
      </x:c>
      <x:c r="G25" s="50" t="n">
        <x:f>'Latest_Snapshot'!G10*(1+'Assumptions'!C5)</x:f>
        <x:v>2687.4</x:v>
      </x:c>
      <x:c r="H25" s="50" t="n">
        <x:f>'Latest_Snapshot'!H10*(1+'Assumptions'!D5)</x:f>
        <x:v>311.3</x:v>
      </x:c>
      <x:c r="I25" s="50" t="n">
        <x:f>'Latest_Snapshot'!I10*(1+'Assumptions'!E5)</x:f>
        <x:v>7630.35</x:v>
      </x:c>
      <x:c r="J25" s="45" t="n">
        <x:f>'Latest_Snapshot'!J10+'Assumptions'!F5</x:f>
        <x:v>0.26349999999999996</x:v>
      </x:c>
      <x:c r="K25" s="48" t="n">
        <x:f>IFERROR(G25/ABS(H25),"")</x:f>
        <x:v>8.632830067459043</x:v>
      </x:c>
      <x:c r="L25" s="48" t="n">
        <x:f>IF(G25&lt;=0,"",I25/G25)</x:f>
        <x:v>2.8393056485822727</x:v>
      </x:c>
      <x:c r="M25" s="48" t="n">
        <x:f>IFERROR(I25/F25,"")</x:f>
        <x:v>0.8375336150595467</x:v>
      </x:c>
      <x:c r="N25" s="40" t="str">
        <x:f>IF(K25&lt;'Assumptions'!$C$24,"Critical debt-service pressure",IF(K25&lt;'Assumptions'!$B$24,"Tighter headroom","Within screen"))</x:f>
        <x:v>Within screen</x:v>
      </x:c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  <x:c r="AA25" s="73"/>
    </x:row>
    <x:row r="26">
      <x:c r="A26" s="38" t="str">
        <x:f>'Assumptions'!A5</x:f>
        <x:v>Downside</x:v>
      </x:c>
      <x:c r="B26" s="38" t="str">
        <x:f>'Latest_Snapshot'!A11</x:f>
        <x:v>Rentokil Initial</x:v>
      </x:c>
      <x:c r="C26" s="38" t="str">
        <x:f>'Latest_Snapshot'!B11</x:f>
        <x:v>RTO</x:v>
      </x:c>
      <x:c r="D26" s="38" t="str">
        <x:f>'Latest_Snapshot'!C11</x:f>
        <x:v>Industrials &amp; Services</x:v>
      </x:c>
      <x:c r="E26" s="38" t="n">
        <x:f>'Latest_Snapshot'!E11</x:f>
        <x:v>2025</x:v>
      </x:c>
      <x:c r="F26" s="50" t="n">
        <x:f>'Latest_Snapshot'!F11*(1+'Assumptions'!B5)</x:f>
        <x:v>6562.599999999999</x:v>
      </x:c>
      <x:c r="G26" s="50" t="n">
        <x:f>'Latest_Snapshot'!G11*(1+'Assumptions'!C5)</x:f>
        <x:v>789.3000000000001</x:v>
      </x:c>
      <x:c r="H26" s="50" t="n">
        <x:f>'Latest_Snapshot'!H11*(1+'Assumptions'!D5)</x:f>
        <x:v>260.70000000000005</x:v>
      </x:c>
      <x:c r="I26" s="50" t="n">
        <x:f>'Latest_Snapshot'!I11*(1+'Assumptions'!E5)</x:f>
        <x:v>6460.650000000001</x:v>
      </x:c>
      <x:c r="J26" s="45" t="n">
        <x:f>'Latest_Snapshot'!J11+'Assumptions'!F5</x:f>
        <x:v>0.0806</x:v>
      </x:c>
      <x:c r="K26" s="48" t="n">
        <x:f>IFERROR(G26/ABS(H26),"")</x:f>
        <x:v>3.027617951668584</x:v>
      </x:c>
      <x:c r="L26" s="48" t="n">
        <x:f>IF(G26&lt;=0,"",I26/G26)</x:f>
        <x:v>8.185290763968073</x:v>
      </x:c>
      <x:c r="M26" s="48" t="n">
        <x:f>IFERROR(I26/F26,"")</x:f>
        <x:v>0.9844649986285925</x:v>
      </x:c>
      <x:c r="N26" s="40" t="str">
        <x:f>IF(K26&lt;'Assumptions'!$C$24,"Critical debt-service pressure",IF(K26&lt;'Assumptions'!$B$24,"Tighter headroom","Within screen"))</x:f>
        <x:v>Within screen</x:v>
      </x:c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  <x:c r="AA26" s="73"/>
    </x:row>
    <x:row r="27">
      <x:c r="A27" s="38" t="str">
        <x:f>'Assumptions'!A5</x:f>
        <x:v>Downside</x:v>
      </x:c>
      <x:c r="B27" s="38" t="str">
        <x:f>'Latest_Snapshot'!A12</x:f>
        <x:v>Rolls-Royce</x:v>
      </x:c>
      <x:c r="C27" s="38" t="str">
        <x:f>'Latest_Snapshot'!B12</x:f>
        <x:v>RR</x:v>
      </x:c>
      <x:c r="D27" s="38" t="str">
        <x:f>'Latest_Snapshot'!C12</x:f>
        <x:v>Industrials &amp; Services</x:v>
      </x:c>
      <x:c r="E27" s="38" t="n">
        <x:f>'Latest_Snapshot'!E12</x:f>
        <x:v>2025</x:v>
      </x:c>
      <x:c r="F27" s="50" t="n">
        <x:f>'Latest_Snapshot'!F12*(1+'Assumptions'!B5)</x:f>
        <x:v>20146.649999999998</x:v>
      </x:c>
      <x:c r="G27" s="50" t="n">
        <x:f>'Latest_Snapshot'!G12*(1+'Assumptions'!C5)</x:f>
        <x:v>4021.2000000000003</x:v>
      </x:c>
      <x:c r="H27" s="50" t="n">
        <x:f>'Latest_Snapshot'!H12*(1+'Assumptions'!D5)</x:f>
        <x:v>526.9000000000001</x:v>
      </x:c>
      <x:c r="I27" s="50" t="n">
        <x:f>'Latest_Snapshot'!I12*(1+'Assumptions'!E5)</x:f>
        <x:v>5451.6</x:v>
      </x:c>
      <x:c r="J27" s="45" t="n">
        <x:f>'Latest_Snapshot'!J12+'Assumptions'!F5</x:f>
        <x:v>0.156</x:v>
      </x:c>
      <x:c r="K27" s="48" t="n">
        <x:f>IFERROR(G27/ABS(H27),"")</x:f>
        <x:v>7.631808692351489</x:v>
      </x:c>
      <x:c r="L27" s="48" t="n">
        <x:f>IF(G27&lt;=0,"",I27/G27)</x:f>
        <x:v>1.355714712026261</x:v>
      </x:c>
      <x:c r="M27" s="48" t="n">
        <x:f>IFERROR(I27/F27,"")</x:f>
        <x:v>0.27059585588671076</x:v>
      </x:c>
      <x:c r="N27" s="40" t="str">
        <x:f>IF(K27&lt;'Assumptions'!$C$24,"Critical debt-service pressure",IF(K27&lt;'Assumptions'!$B$24,"Tighter headroom","Within screen"))</x:f>
        <x:v>Within screen</x:v>
      </x:c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  <x:c r="AA27" s="73"/>
    </x:row>
    <x:row r="28">
      <x:c r="A28" s="38" t="str">
        <x:f>'Assumptions'!A5</x:f>
        <x:v>Downside</x:v>
      </x:c>
      <x:c r="B28" s="38" t="str">
        <x:f>'Latest_Snapshot'!A13</x:f>
        <x:v>SSE</x:v>
      </x:c>
      <x:c r="C28" s="38" t="str">
        <x:f>'Latest_Snapshot'!B13</x:f>
        <x:v>SSE</x:v>
      </x:c>
      <x:c r="D28" s="38" t="str">
        <x:f>'Latest_Snapshot'!C13</x:f>
        <x:v>Utilities</x:v>
      </x:c>
      <x:c r="E28" s="38" t="n">
        <x:f>'Latest_Snapshot'!E13</x:f>
        <x:v>2026</x:v>
      </x:c>
      <x:c r="F28" s="50" t="n">
        <x:f>'Latest_Snapshot'!F13*(1+'Assumptions'!B5)</x:f>
        <x:v>9677.65</x:v>
      </x:c>
      <x:c r="G28" s="50" t="n">
        <x:f>'Latest_Snapshot'!G13*(1+'Assumptions'!C5)</x:f>
        <x:v>1700.1000000000001</x:v>
      </x:c>
      <x:c r="H28" s="50" t="n">
        <x:f>'Latest_Snapshot'!H13*(1+'Assumptions'!D5)</x:f>
        <x:v>341.44</x:v>
      </x:c>
      <x:c r="I28" s="50" t="n">
        <x:f>'Latest_Snapshot'!I13*(1+'Assumptions'!E5)</x:f>
        <x:v>10627.050000000001</x:v>
      </x:c>
      <x:c r="J28" s="45" t="n">
        <x:f>'Latest_Snapshot'!J13+'Assumptions'!F5</x:f>
        <x:v>-0.0999</x:v>
      </x:c>
      <x:c r="K28" s="48" t="n">
        <x:f>IFERROR(G28/ABS(H28),"")</x:f>
        <x:v>4.979205716963449</x:v>
      </x:c>
      <x:c r="L28" s="48" t="n">
        <x:f>IF(G28&lt;=0,"",I28/G28)</x:f>
        <x:v>6.25083818598906</x:v>
      </x:c>
      <x:c r="M28" s="48" t="n">
        <x:f>IFERROR(I28/F28,"")</x:f>
        <x:v>1.0981023285611695</x:v>
      </x:c>
      <x:c r="N28" s="40" t="str">
        <x:f>IF(K28&lt;'Assumptions'!$C$24,"Critical debt-service pressure",IF(K28&lt;'Assumptions'!$B$24,"Tighter headroom","Within screen"))</x:f>
        <x:v>Within screen</x:v>
      </x:c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  <x:c r="AA28" s="73"/>
    </x:row>
    <x:row r="29">
      <x:c r="A29" s="38" t="str">
        <x:f>'Assumptions'!A5</x:f>
        <x:v>Downside</x:v>
      </x:c>
      <x:c r="B29" s="38" t="str">
        <x:f>'Latest_Snapshot'!A14</x:f>
        <x:v>Smith &amp; Nephew</x:v>
      </x:c>
      <x:c r="C29" s="38" t="str">
        <x:f>'Latest_Snapshot'!B14</x:f>
        <x:v>SN</x:v>
      </x:c>
      <x:c r="D29" s="38" t="str">
        <x:f>'Latest_Snapshot'!C14</x:f>
        <x:v>Healthcare</x:v>
      </x:c>
      <x:c r="E29" s="38" t="n">
        <x:f>'Latest_Snapshot'!E14</x:f>
        <x:v>2025</x:v>
      </x:c>
      <x:c r="F29" s="50" t="n">
        <x:f>'Latest_Snapshot'!F14*(1+'Assumptions'!B5)</x:f>
        <x:v>5855.799999999999</x:v>
      </x:c>
      <x:c r="G29" s="50" t="n">
        <x:f>'Latest_Snapshot'!G14*(1+'Assumptions'!C5)</x:f>
        <x:v>789.3000000000001</x:v>
      </x:c>
      <x:c r="H29" s="50" t="n">
        <x:f>'Latest_Snapshot'!H14*(1+'Assumptions'!D5)</x:f>
        <x:v>154</x:v>
      </x:c>
      <x:c r="I29" s="50" t="n">
        <x:f>'Latest_Snapshot'!I14*(1+'Assumptions'!E5)</x:f>
        <x:v>3493.3500000000004</x:v>
      </x:c>
      <x:c r="J29" s="45" t="n">
        <x:f>'Latest_Snapshot'!J14+'Assumptions'!F5</x:f>
        <x:v>0.10819999999999999</x:v>
      </x:c>
      <x:c r="K29" s="48" t="n">
        <x:f>IFERROR(G29/ABS(H29),"")</x:f>
        <x:v>5.125324675324676</x:v>
      </x:c>
      <x:c r="L29" s="48" t="n">
        <x:f>IF(G29&lt;=0,"",I29/G29)</x:f>
        <x:v>4.425883694412771</x:v>
      </x:c>
      <x:c r="M29" s="48" t="n">
        <x:f>IFERROR(I29/F29,"")</x:f>
        <x:v>0.5965623825950341</x:v>
      </x:c>
      <x:c r="N29" s="40" t="str">
        <x:f>IF(K29&lt;'Assumptions'!$C$24,"Critical debt-service pressure",IF(K29&lt;'Assumptions'!$B$24,"Tighter headroom","Within screen"))</x:f>
        <x:v>Within screen</x:v>
      </x:c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  <x:c r="AA29" s="73"/>
    </x:row>
    <x:row r="30">
      <x:c r="A30" s="38" t="str">
        <x:f>'Assumptions'!A5</x:f>
        <x:v>Downside</x:v>
      </x:c>
      <x:c r="B30" s="38" t="str">
        <x:f>'Latest_Snapshot'!A15</x:f>
        <x:v>Tesco</x:v>
      </x:c>
      <x:c r="C30" s="38" t="str">
        <x:f>'Latest_Snapshot'!B15</x:f>
        <x:v>TSCO</x:v>
      </x:c>
      <x:c r="D30" s="38" t="str">
        <x:f>'Latest_Snapshot'!C15</x:f>
        <x:v>Consumer &amp; Retail</x:v>
      </x:c>
      <x:c r="E30" s="38" t="n">
        <x:f>'Latest_Snapshot'!E15</x:f>
        <x:v>2025</x:v>
      </x:c>
      <x:c r="F30" s="50" t="n">
        <x:f>'Latest_Snapshot'!F15*(1+'Assumptions'!B5)</x:f>
        <x:v>66420.2</x:v>
      </x:c>
      <x:c r="G30" s="50" t="n">
        <x:f>'Latest_Snapshot'!G15*(1+'Assumptions'!C5)</x:f>
        <x:v>2699.1</x:v>
      </x:c>
      <x:c r="H30" s="50" t="n">
        <x:f>'Latest_Snapshot'!H15*(1+'Assumptions'!D5)</x:f>
        <x:v>845.9000000000001</x:v>
      </x:c>
      <x:c r="I30" s="50" t="n">
        <x:f>'Latest_Snapshot'!I15*(1+'Assumptions'!E5)</x:f>
        <x:v>15399.300000000001</x:v>
      </x:c>
      <x:c r="J30" s="45" t="n">
        <x:f>'Latest_Snapshot'!J15+'Assumptions'!F5</x:f>
        <x:v>-0.005999999999999998</x:v>
      </x:c>
      <x:c r="K30" s="48" t="n">
        <x:f>IFERROR(G30/ABS(H30),"")</x:f>
        <x:v>3.1908026953540602</x:v>
      </x:c>
      <x:c r="L30" s="48" t="n">
        <x:f>IF(G30&lt;=0,"",I30/G30)</x:f>
        <x:v>5.705346226519952</x:v>
      </x:c>
      <x:c r="M30" s="48" t="n">
        <x:f>IFERROR(I30/F30,"")</x:f>
        <x:v>0.23184663701705208</x:v>
      </x:c>
      <x:c r="N30" s="40" t="str">
        <x:f>IF(K30&lt;'Assumptions'!$C$24,"Critical debt-service pressure",IF(K30&lt;'Assumptions'!$B$24,"Tighter headroom","Within screen"))</x:f>
        <x:v>Within screen</x:v>
      </x:c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  <x:c r="AA30" s="73"/>
    </x:row>
    <x:row r="31">
      <x:c r="A31" s="38" t="str">
        <x:f>'Assumptions'!A5</x:f>
        <x:v>Downside</x:v>
      </x:c>
      <x:c r="B31" s="38" t="str">
        <x:f>'Latest_Snapshot'!A16</x:f>
        <x:v>Unilever</x:v>
      </x:c>
      <x:c r="C31" s="38" t="str">
        <x:f>'Latest_Snapshot'!B16</x:f>
        <x:v>ULVR</x:v>
      </x:c>
      <x:c r="D31" s="38" t="str">
        <x:f>'Latest_Snapshot'!C16</x:f>
        <x:v>Consumer &amp; Retail</x:v>
      </x:c>
      <x:c r="E31" s="38" t="n">
        <x:f>'Latest_Snapshot'!E16</x:f>
        <x:v>2025</x:v>
      </x:c>
      <x:c r="F31" s="50" t="n">
        <x:f>'Latest_Snapshot'!F16*(1+'Assumptions'!B5)</x:f>
        <x:v>47977.85</x:v>
      </x:c>
      <x:c r="G31" s="50" t="n">
        <x:f>'Latest_Snapshot'!G16*(1+'Assumptions'!C5)</x:f>
        <x:v>9114.300000000001</x:v>
      </x:c>
      <x:c r="H31" s="50" t="n">
        <x:f>'Latest_Snapshot'!H16*(1+'Assumptions'!D5)</x:f>
        <x:v>1207.8000000000002</x:v>
      </x:c>
      <x:c r="I31" s="50" t="n">
        <x:f>'Latest_Snapshot'!I16*(1+'Assumptions'!E5)</x:f>
        <x:v>29691.9</x:v>
      </x:c>
      <x:c r="J31" s="45" t="n">
        <x:f>'Latest_Snapshot'!J16+'Assumptions'!F5</x:f>
        <x:v>0.1073</x:v>
      </x:c>
      <x:c r="K31" s="48" t="n">
        <x:f>IFERROR(G31/ABS(H31),"")</x:f>
        <x:v>7.5461997019374065</x:v>
      </x:c>
      <x:c r="L31" s="48" t="n">
        <x:f>IF(G31&lt;=0,"",I31/G31)</x:f>
        <x:v>3.257726868766663</x:v>
      </x:c>
      <x:c r="M31" s="48" t="n">
        <x:f>IFERROR(I31/F31,"")</x:f>
        <x:v>0.618866831256507</x:v>
      </x:c>
      <x:c r="N31" s="40" t="str">
        <x:f>IF(K31&lt;'Assumptions'!$C$24,"Critical debt-service pressure",IF(K31&lt;'Assumptions'!$B$24,"Tighter headroom","Within screen"))</x:f>
        <x:v>Within screen</x:v>
      </x:c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  <x:c r="AA31" s="73"/>
    </x:row>
    <x:row r="32">
      <x:c r="A32" s="38" t="str">
        <x:f>'Assumptions'!A5</x:f>
        <x:v>Downside</x:v>
      </x:c>
      <x:c r="B32" s="38" t="str">
        <x:f>'Latest_Snapshot'!A17</x:f>
        <x:v>United Utilities</x:v>
      </x:c>
      <x:c r="C32" s="38" t="str">
        <x:f>'Latest_Snapshot'!B17</x:f>
        <x:v>UU</x:v>
      </x:c>
      <x:c r="D32" s="38" t="str">
        <x:f>'Latest_Snapshot'!C17</x:f>
        <x:v>Utilities</x:v>
      </x:c>
      <x:c r="E32" s="38" t="n">
        <x:f>'Latest_Snapshot'!E17</x:f>
        <x:v>2026</x:v>
      </x:c>
      <x:c r="F32" s="50" t="n">
        <x:f>'Latest_Snapshot'!F17*(1+'Assumptions'!B5)</x:f>
        <x:v>2485.2</x:v>
      </x:c>
      <x:c r="G32" s="50" t="n">
        <x:f>'Latest_Snapshot'!G17*(1+'Assumptions'!C5)</x:f>
        <x:v>989.1</x:v>
      </x:c>
      <x:c r="H32" s="50" t="n">
        <x:f>'Latest_Snapshot'!H17*(1+'Assumptions'!D5)</x:f>
        <x:v>457.27000000000004</x:v>
      </x:c>
      <x:c r="I32" s="50" t="n">
        <x:f>'Latest_Snapshot'!I17*(1+'Assumptions'!E5)</x:f>
        <x:v>12065.445</x:v>
      </x:c>
      <x:c r="J32" s="45" t="n">
        <x:f>'Latest_Snapshot'!J17+'Assumptions'!F5</x:f>
        <x:v>-0.07200000000000001</x:v>
      </x:c>
      <x:c r="K32" s="48" t="n">
        <x:f>IFERROR(G32/ABS(H32),"")</x:f>
        <x:v>2.1630546504253503</x:v>
      </x:c>
      <x:c r="L32" s="48" t="n">
        <x:f>IF(G32&lt;=0,"",I32/G32)</x:f>
        <x:v>12.198407643312102</x:v>
      </x:c>
      <x:c r="M32" s="48" t="n">
        <x:f>IFERROR(I32/F32,"")</x:f>
        <x:v>4.854919121197489</x:v>
      </x:c>
      <x:c r="N32" s="40" t="str">
        <x:f>IF(K32&lt;'Assumptions'!$C$24,"Critical debt-service pressure",IF(K32&lt;'Assumptions'!$B$24,"Tighter headroom","Within screen"))</x:f>
        <x:v>Within screen</x:v>
      </x:c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  <x:c r="AA32" s="73"/>
    </x:row>
    <x:row r="33">
      <x:c r="A33" s="38" t="str">
        <x:f>'Assumptions'!A5</x:f>
        <x:v>Downside</x:v>
      </x:c>
      <x:c r="B33" s="38" t="str">
        <x:f>'Latest_Snapshot'!A18</x:f>
        <x:v>Vodafone</x:v>
      </x:c>
      <x:c r="C33" s="38" t="str">
        <x:f>'Latest_Snapshot'!B18</x:f>
        <x:v>VOD</x:v>
      </x:c>
      <x:c r="D33" s="38" t="str">
        <x:f>'Latest_Snapshot'!C18</x:f>
        <x:v>Telecom</x:v>
      </x:c>
      <x:c r="E33" s="38" t="n">
        <x:f>'Latest_Snapshot'!E18</x:f>
        <x:v>2026</x:v>
      </x:c>
      <x:c r="F33" s="50" t="n">
        <x:f>'Latest_Snapshot'!F18*(1+'Assumptions'!B5)</x:f>
        <x:v>38437.95</x:v>
      </x:c>
      <x:c r="G33" s="50" t="n">
        <x:f>'Latest_Snapshot'!G18*(1+'Assumptions'!C5)</x:f>
        <x:v>2834.1</x:v>
      </x:c>
      <x:c r="H33" s="50" t="n">
        <x:f>'Latest_Snapshot'!H18*(1+'Assumptions'!D5)</x:f>
        <x:v>2435.4</x:v>
      </x:c>
      <x:c r="I33" s="50" t="n">
        <x:f>'Latest_Snapshot'!I18*(1+'Assumptions'!E5)</x:f>
        <x:v>57170.4</x:v>
      </x:c>
      <x:c r="J33" s="45" t="n">
        <x:f>'Latest_Snapshot'!J18+'Assumptions'!F5</x:f>
        <x:v>0.2028</x:v>
      </x:c>
      <x:c r="K33" s="48" t="n">
        <x:f>IFERROR(G33/ABS(H33),"")</x:f>
        <x:v>1.163710273466371</x:v>
      </x:c>
      <x:c r="L33" s="48" t="n">
        <x:f>IF(G33&lt;=0,"",I33/G33)</x:f>
        <x:v>20.1723298401609</x:v>
      </x:c>
      <x:c r="M33" s="48" t="n">
        <x:f>IFERROR(I33/F33,"")</x:f>
        <x:v>1.4873425872087354</x:v>
      </x:c>
      <x:c r="N33" s="40" t="str">
        <x:f>IF(K33&lt;'Assumptions'!$C$24,"Critical debt-service pressure",IF(K33&lt;'Assumptions'!$B$24,"Tighter headroom","Within screen"))</x:f>
        <x:v>Critical debt-service pressure</x:v>
      </x:c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  <x:c r="AA33" s="73"/>
    </x:row>
    <x:row r="34">
      <x:c r="A34" s="38" t="str">
        <x:f>'Assumptions'!A6</x:f>
        <x:v>Severe</x:v>
      </x:c>
      <x:c r="B34" s="38" t="str">
        <x:f>'Latest_Snapshot'!A4</x:f>
        <x:v>AstraZeneca</x:v>
      </x:c>
      <x:c r="C34" s="38" t="str">
        <x:f>'Latest_Snapshot'!B4</x:f>
        <x:v>AZN</x:v>
      </x:c>
      <x:c r="D34" s="38" t="str">
        <x:f>'Latest_Snapshot'!C4</x:f>
        <x:v>Healthcare</x:v>
      </x:c>
      <x:c r="E34" s="38" t="n">
        <x:f>'Latest_Snapshot'!E4</x:f>
        <x:v>2025</x:v>
      </x:c>
      <x:c r="F34" s="50" t="n">
        <x:f>'Latest_Snapshot'!F4*(1+'Assumptions'!B6)</x:f>
        <x:v>52865.1</x:v>
      </x:c>
      <x:c r="G34" s="50" t="n">
        <x:f>'Latest_Snapshot'!G4*(1+'Assumptions'!C6)</x:f>
        <x:v>11433.6</x:v>
      </x:c>
      <x:c r="H34" s="50" t="n">
        <x:f>'Latest_Snapshot'!H4*(1+'Assumptions'!D6)</x:f>
        <x:v>1706.25</x:v>
      </x:c>
      <x:c r="I34" s="50" t="n">
        <x:f>'Latest_Snapshot'!I4*(1+'Assumptions'!E6)</x:f>
        <x:v>32673.300000000003</x:v>
      </x:c>
      <x:c r="J34" s="45" t="n">
        <x:f>'Latest_Snapshot'!J4+'Assumptions'!F6</x:f>
        <x:v>0.1403</x:v>
      </x:c>
      <x:c r="K34" s="48" t="n">
        <x:f>IFERROR(G34/ABS(H34),"")</x:f>
        <x:v>6.701010989010989</x:v>
      </x:c>
      <x:c r="L34" s="48" t="n">
        <x:f>IF(G34&lt;=0,"",I34/G34)</x:f>
        <x:v>2.8576563811922755</x:v>
      </x:c>
      <x:c r="M34" s="48" t="n">
        <x:f>IFERROR(I34/F34,"")</x:f>
        <x:v>0.6180504718613983</x:v>
      </x:c>
      <x:c r="N34" s="40" t="str">
        <x:f>IF(K34&lt;'Assumptions'!$C$24,"Critical debt-service pressure",IF(K34&lt;'Assumptions'!$B$24,"Tighter headroom","Within screen"))</x:f>
        <x:v>Within screen</x:v>
      </x:c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  <x:c r="AA34" s="73"/>
    </x:row>
    <x:row r="35">
      <x:c r="A35" s="38" t="str">
        <x:f>'Assumptions'!A6</x:f>
        <x:v>Severe</x:v>
      </x:c>
      <x:c r="B35" s="38" t="str">
        <x:f>'Latest_Snapshot'!A5</x:f>
        <x:v>BT Group</x:v>
      </x:c>
      <x:c r="C35" s="38" t="str">
        <x:f>'Latest_Snapshot'!B5</x:f>
        <x:v>BT.A</x:v>
      </x:c>
      <x:c r="D35" s="38" t="str">
        <x:f>'Latest_Snapshot'!C5</x:f>
        <x:v>Telecom</x:v>
      </x:c>
      <x:c r="E35" s="38" t="n">
        <x:f>'Latest_Snapshot'!E5</x:f>
        <x:v>2026</x:v>
      </x:c>
      <x:c r="F35" s="50" t="n">
        <x:f>'Latest_Snapshot'!F5*(1+'Assumptions'!B6)</x:f>
        <x:v>17688.600000000002</x:v>
      </x:c>
      <x:c r="G35" s="50" t="n">
        <x:f>'Latest_Snapshot'!G5*(1+'Assumptions'!C6)</x:f>
        <x:v>2317.6</x:v>
      </x:c>
      <x:c r="H35" s="50" t="n">
        <x:f>'Latest_Snapshot'!H5*(1+'Assumptions'!D6)</x:f>
        <x:v>1746.25</x:v>
      </x:c>
      <x:c r="I35" s="50" t="n">
        <x:f>'Latest_Snapshot'!I5*(1+'Assumptions'!E6)</x:f>
        <x:v>24992.000000000004</x:v>
      </x:c>
      <x:c r="J35" s="45" t="n">
        <x:f>'Latest_Snapshot'!J5+'Assumptions'!F6</x:f>
        <x:v>0.03470000000000001</x:v>
      </x:c>
      <x:c r="K35" s="48" t="n">
        <x:f>IFERROR(G35/ABS(H35),"")</x:f>
        <x:v>1.3271868289191124</x:v>
      </x:c>
      <x:c r="L35" s="48" t="n">
        <x:f>IF(G35&lt;=0,"",I35/G35)</x:f>
        <x:v>10.7835692095271</x:v>
      </x:c>
      <x:c r="M35" s="48" t="n">
        <x:f>IFERROR(I35/F35,"")</x:f>
        <x:v>1.4128873964022026</x:v>
      </x:c>
      <x:c r="N35" s="40" t="str">
        <x:f>IF(K35&lt;'Assumptions'!$C$24,"Critical debt-service pressure",IF(K35&lt;'Assumptions'!$B$24,"Tighter headroom","Within screen"))</x:f>
        <x:v>Tighter headroom</x:v>
      </x:c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  <x:c r="AA35" s="73"/>
    </x:row>
    <x:row r="36">
      <x:c r="A36" s="38" t="str">
        <x:f>'Assumptions'!A6</x:f>
        <x:v>Severe</x:v>
      </x:c>
      <x:c r="B36" s="38" t="str">
        <x:f>'Latest_Snapshot'!A6</x:f>
        <x:v>Compass Group</x:v>
      </x:c>
      <x:c r="C36" s="38" t="str">
        <x:f>'Latest_Snapshot'!B6</x:f>
        <x:v>CPG</x:v>
      </x:c>
      <x:c r="D36" s="38" t="str">
        <x:f>'Latest_Snapshot'!C6</x:f>
        <x:v>Industrials &amp; Services</x:v>
      </x:c>
      <x:c r="E36" s="38" t="n">
        <x:f>'Latest_Snapshot'!E6</x:f>
        <x:v>2025</x:v>
      </x:c>
      <x:c r="F36" s="50" t="n">
        <x:f>'Latest_Snapshot'!F6*(1+'Assumptions'!B6)</x:f>
        <x:v>41463</x:v>
      </x:c>
      <x:c r="G36" s="50" t="n">
        <x:f>'Latest_Snapshot'!G6*(1+'Assumptions'!C6)</x:f>
        <x:v>2371.2000000000003</x:v>
      </x:c>
      <x:c r="H36" s="50" t="n">
        <x:f>'Latest_Snapshot'!H6*(1+'Assumptions'!D6)</x:f>
        <x:v>536.25</x:v>
      </x:c>
      <x:c r="I36" s="50" t="n">
        <x:f>'Latest_Snapshot'!I6*(1+'Assumptions'!E6)</x:f>
        <x:v>7691.200000000001</x:v>
      </x:c>
      <x:c r="J36" s="45" t="n">
        <x:f>'Latest_Snapshot'!J6+'Assumptions'!F6</x:f>
        <x:v>0.0011999999999999997</x:v>
      </x:c>
      <x:c r="K36" s="48" t="n">
        <x:f>IFERROR(G36/ABS(H36),"")</x:f>
        <x:v>4.421818181818183</x:v>
      </x:c>
      <x:c r="L36" s="48" t="n">
        <x:f>IF(G36&lt;=0,"",I36/G36)</x:f>
        <x:v>3.2435897435897436</x:v>
      </x:c>
      <x:c r="M36" s="48" t="n">
        <x:f>IFERROR(I36/F36,"")</x:f>
        <x:v>0.18549550201384368</x:v>
      </x:c>
      <x:c r="N36" s="40" t="str">
        <x:f>IF(K36&lt;'Assumptions'!$C$24,"Critical debt-service pressure",IF(K36&lt;'Assumptions'!$B$24,"Tighter headroom","Within screen"))</x:f>
        <x:v>Within screen</x:v>
      </x:c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  <x:c r="AA36" s="73"/>
    </x:row>
    <x:row r="37">
      <x:c r="A37" s="38" t="str">
        <x:f>'Assumptions'!A6</x:f>
        <x:v>Severe</x:v>
      </x:c>
      <x:c r="B37" s="38" t="str">
        <x:f>'Latest_Snapshot'!A7</x:f>
        <x:v>Diageo</x:v>
      </x:c>
      <x:c r="C37" s="38" t="str">
        <x:f>'Latest_Snapshot'!B7</x:f>
        <x:v>DGE</x:v>
      </x:c>
      <x:c r="D37" s="38" t="str">
        <x:f>'Latest_Snapshot'!C7</x:f>
        <x:v>Consumer &amp; Retail</x:v>
      </x:c>
      <x:c r="E37" s="38" t="n">
        <x:f>'Latest_Snapshot'!E7</x:f>
        <x:v>2026</x:v>
      </x:c>
      <x:c r="F37" s="50" t="n">
        <x:f>'Latest_Snapshot'!F7*(1+'Assumptions'!B6)</x:f>
        <x:v>17678.7</x:v>
      </x:c>
      <x:c r="G37" s="50" t="n">
        <x:f>'Latest_Snapshot'!G7*(1+'Assumptions'!C6)</x:f>
        <x:v>4939.200000000001</x:v>
      </x:c>
      <x:c r="H37" s="50" t="n">
        <x:f>'Latest_Snapshot'!H7*(1+'Assumptions'!D6)</x:f>
        <x:v>1403.75</x:v>
      </x:c>
      <x:c r="I37" s="50" t="n">
        <x:f>'Latest_Snapshot'!I7*(1+'Assumptions'!E6)</x:f>
        <x:v>24537.7</x:v>
      </x:c>
      <x:c r="J37" s="45" t="n">
        <x:f>'Latest_Snapshot'!J7+'Assumptions'!F6</x:f>
        <x:v>0.08779999999999999</x:v>
      </x:c>
      <x:c r="K37" s="48" t="n">
        <x:f>IFERROR(G37/ABS(H37),"")</x:f>
        <x:v>3.518575244879787</x:v>
      </x:c>
      <x:c r="L37" s="48" t="n">
        <x:f>IF(G37&lt;=0,"",I37/G37)</x:f>
        <x:v>4.967950275348234</x:v>
      </x:c>
      <x:c r="M37" s="48" t="n">
        <x:f>IFERROR(I37/F37,"")</x:f>
        <x:v>1.387981016703717</x:v>
      </x:c>
      <x:c r="N37" s="40" t="str">
        <x:f>IF(K37&lt;'Assumptions'!$C$24,"Critical debt-service pressure",IF(K37&lt;'Assumptions'!$B$24,"Tighter headroom","Within screen"))</x:f>
        <x:v>Within screen</x:v>
      </x:c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  <x:c r="AA37" s="73"/>
    </x:row>
    <x:row r="38">
      <x:c r="A38" s="38" t="str">
        <x:f>'Assumptions'!A6</x:f>
        <x:v>Severe</x:v>
      </x:c>
      <x:c r="B38" s="38" t="str">
        <x:f>'Latest_Snapshot'!A8</x:f>
        <x:v>GSK</x:v>
      </x:c>
      <x:c r="C38" s="38" t="str">
        <x:f>'Latest_Snapshot'!B8</x:f>
        <x:v>GSK</x:v>
      </x:c>
      <x:c r="D38" s="38" t="str">
        <x:f>'Latest_Snapshot'!C8</x:f>
        <x:v>Healthcare</x:v>
      </x:c>
      <x:c r="E38" s="38" t="n">
        <x:f>'Latest_Snapshot'!E8</x:f>
        <x:v>2025</x:v>
      </x:c>
      <x:c r="F38" s="50" t="n">
        <x:f>'Latest_Snapshot'!F8*(1+'Assumptions'!B6)</x:f>
        <x:v>29400.3</x:v>
      </x:c>
      <x:c r="G38" s="50" t="n">
        <x:f>'Latest_Snapshot'!G8*(1+'Assumptions'!C6)</x:f>
        <x:v>7557.6</x:v>
      </x:c>
      <x:c r="H38" s="50" t="n">
        <x:f>'Latest_Snapshot'!H8*(1+'Assumptions'!D6)</x:f>
        <x:v>822.5</x:v>
      </x:c>
      <x:c r="I38" s="50" t="n">
        <x:f>'Latest_Snapshot'!I8*(1+'Assumptions'!E6)</x:f>
        <x:v>19565.7</x:v>
      </x:c>
      <x:c r="J38" s="45" t="n">
        <x:f>'Latest_Snapshot'!J8+'Assumptions'!F6</x:f>
        <x:v>0.13570000000000002</x:v>
      </x:c>
      <x:c r="K38" s="48" t="n">
        <x:f>IFERROR(G38/ABS(H38),"")</x:f>
        <x:v>9.188571428571429</x:v>
      </x:c>
      <x:c r="L38" s="48" t="n">
        <x:f>IF(G38&lt;=0,"",I38/G38)</x:f>
        <x:v>2.58887742140362</x:v>
      </x:c>
      <x:c r="M38" s="48" t="n">
        <x:f>IFERROR(I38/F38,"")</x:f>
        <x:v>0.6654932092529668</x:v>
      </x:c>
      <x:c r="N38" s="40" t="str">
        <x:f>IF(K38&lt;'Assumptions'!$C$24,"Critical debt-service pressure",IF(K38&lt;'Assumptions'!$B$24,"Tighter headroom","Within screen"))</x:f>
        <x:v>Within screen</x:v>
      </x:c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  <x:c r="AA38" s="73"/>
    </x:row>
    <x:row r="39">
      <x:c r="A39" s="38" t="str">
        <x:f>'Assumptions'!A6</x:f>
        <x:v>Severe</x:v>
      </x:c>
      <x:c r="B39" s="38" t="str">
        <x:f>'Latest_Snapshot'!A9</x:f>
        <x:v>National Grid</x:v>
      </x:c>
      <x:c r="C39" s="38" t="str">
        <x:f>'Latest_Snapshot'!B9</x:f>
        <x:v>NG</x:v>
      </x:c>
      <x:c r="D39" s="38" t="str">
        <x:f>'Latest_Snapshot'!C9</x:f>
        <x:v>Utilities</x:v>
      </x:c>
      <x:c r="E39" s="38" t="n">
        <x:f>'Latest_Snapshot'!E9</x:f>
        <x:v>2026</x:v>
      </x:c>
      <x:c r="F39" s="50" t="n">
        <x:f>'Latest_Snapshot'!F9*(1+'Assumptions'!B6)</x:f>
        <x:v>15918.300000000001</x:v>
      </x:c>
      <x:c r="G39" s="50" t="n">
        <x:f>'Latest_Snapshot'!G9*(1+'Assumptions'!C6)</x:f>
        <x:v>4135.2</x:v>
      </x:c>
      <x:c r="H39" s="50" t="n">
        <x:f>'Latest_Snapshot'!H9*(1+'Assumptions'!D6)</x:f>
        <x:v>1907.5</x:v>
      </x:c>
      <x:c r="I39" s="50" t="n">
        <x:f>'Latest_Snapshot'!I9*(1+'Assumptions'!E6)</x:f>
        <x:v>52475.50000000001</x:v>
      </x:c>
      <x:c r="J39" s="45" t="n">
        <x:f>'Latest_Snapshot'!J9+'Assumptions'!F6</x:f>
        <x:v>-0.18209999999999998</x:v>
      </x:c>
      <x:c r="K39" s="48" t="n">
        <x:f>IFERROR(G39/ABS(H39),"")</x:f>
        <x:v>2.1678636959370903</x:v>
      </x:c>
      <x:c r="L39" s="48" t="n">
        <x:f>IF(G39&lt;=0,"",I39/G39)</x:f>
        <x:v>12.689954536660865</x:v>
      </x:c>
      <x:c r="M39" s="48" t="n">
        <x:f>IFERROR(I39/F39,"")</x:f>
        <x:v>3.2965517674626064</x:v>
      </x:c>
      <x:c r="N39" s="40" t="str">
        <x:f>IF(K39&lt;'Assumptions'!$C$24,"Critical debt-service pressure",IF(K39&lt;'Assumptions'!$B$24,"Tighter headroom","Within screen"))</x:f>
        <x:v>Within screen</x:v>
      </x:c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  <x:c r="AA39" s="73"/>
    </x:row>
    <x:row r="40">
      <x:c r="A40" s="38" t="str">
        <x:f>'Assumptions'!A6</x:f>
        <x:v>Severe</x:v>
      </x:c>
      <x:c r="B40" s="38" t="str">
        <x:f>'Latest_Snapshot'!A10</x:f>
        <x:v>RELX</x:v>
      </x:c>
      <x:c r="C40" s="38" t="str">
        <x:f>'Latest_Snapshot'!B10</x:f>
        <x:v>REL</x:v>
      </x:c>
      <x:c r="D40" s="38" t="str">
        <x:f>'Latest_Snapshot'!C10</x:f>
        <x:v>Industrials &amp; Services</x:v>
      </x:c>
      <x:c r="E40" s="38" t="n">
        <x:f>'Latest_Snapshot'!E10</x:f>
        <x:v>2025</x:v>
      </x:c>
      <x:c r="F40" s="50" t="n">
        <x:f>'Latest_Snapshot'!F10*(1+'Assumptions'!B6)</x:f>
        <x:v>8631</x:v>
      </x:c>
      <x:c r="G40" s="50" t="n">
        <x:f>'Latest_Snapshot'!G10*(1+'Assumptions'!C6)</x:f>
        <x:v>2388.8</x:v>
      </x:c>
      <x:c r="H40" s="50" t="n">
        <x:f>'Latest_Snapshot'!H10*(1+'Assumptions'!D6)</x:f>
        <x:v>353.75</x:v>
      </x:c>
      <x:c r="I40" s="50" t="n">
        <x:f>'Latest_Snapshot'!I10*(1+'Assumptions'!E6)</x:f>
        <x:v>7993.700000000001</x:v>
      </x:c>
      <x:c r="J40" s="45" t="n">
        <x:f>'Latest_Snapshot'!J10+'Assumptions'!F6</x:f>
        <x:v>0.23349999999999999</x:v>
      </x:c>
      <x:c r="K40" s="48" t="n">
        <x:f>IFERROR(G40/ABS(H40),"")</x:f>
        <x:v>6.75279151943463</x:v>
      </x:c>
      <x:c r="L40" s="48" t="n">
        <x:f>IF(G40&lt;=0,"",I40/G40)</x:f>
        <x:v>3.346324514400536</x:v>
      </x:c>
      <x:c r="M40" s="48" t="n">
        <x:f>IFERROR(I40/F40,"")</x:f>
        <x:v>0.9261615108330438</x:v>
      </x:c>
      <x:c r="N40" s="40" t="str">
        <x:f>IF(K40&lt;'Assumptions'!$C$24,"Critical debt-service pressure",IF(K40&lt;'Assumptions'!$B$24,"Tighter headroom","Within screen"))</x:f>
        <x:v>Within screen</x:v>
      </x:c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  <x:c r="AA40" s="73"/>
    </x:row>
    <x:row r="41">
      <x:c r="A41" s="38" t="str">
        <x:f>'Assumptions'!A6</x:f>
        <x:v>Severe</x:v>
      </x:c>
      <x:c r="B41" s="38" t="str">
        <x:f>'Latest_Snapshot'!A11</x:f>
        <x:v>Rentokil Initial</x:v>
      </x:c>
      <x:c r="C41" s="38" t="str">
        <x:f>'Latest_Snapshot'!B11</x:f>
        <x:v>RTO</x:v>
      </x:c>
      <x:c r="D41" s="38" t="str">
        <x:f>'Latest_Snapshot'!C11</x:f>
        <x:v>Industrials &amp; Services</x:v>
      </x:c>
      <x:c r="E41" s="38" t="n">
        <x:f>'Latest_Snapshot'!E11</x:f>
        <x:v>2025</x:v>
      </x:c>
      <x:c r="F41" s="50" t="n">
        <x:f>'Latest_Snapshot'!F11*(1+'Assumptions'!B6)</x:f>
        <x:v>6217.2</x:v>
      </x:c>
      <x:c r="G41" s="50" t="n">
        <x:f>'Latest_Snapshot'!G11*(1+'Assumptions'!C6)</x:f>
        <x:v>701.6</x:v>
      </x:c>
      <x:c r="H41" s="50" t="n">
        <x:f>'Latest_Snapshot'!H11*(1+'Assumptions'!D6)</x:f>
        <x:v>296.25</x:v>
      </x:c>
      <x:c r="I41" s="50" t="n">
        <x:f>'Latest_Snapshot'!I11*(1+'Assumptions'!E6)</x:f>
        <x:v>6768.3</x:v>
      </x:c>
      <x:c r="J41" s="45" t="n">
        <x:f>'Latest_Snapshot'!J11+'Assumptions'!F6</x:f>
        <x:v>0.050600000000000006</x:v>
      </x:c>
      <x:c r="K41" s="48" t="n">
        <x:f>IFERROR(G41/ABS(H41),"")</x:f>
        <x:v>2.368270042194093</x:v>
      </x:c>
      <x:c r="L41" s="48" t="n">
        <x:f>IF(G41&lt;=0,"",I41/G41)</x:f>
        <x:v>9.646949828962372</x:v>
      </x:c>
      <x:c r="M41" s="48" t="n">
        <x:f>IFERROR(I41/F41,"")</x:f>
        <x:v>1.0886411889596603</x:v>
      </x:c>
      <x:c r="N41" s="40" t="str">
        <x:f>IF(K41&lt;'Assumptions'!$C$24,"Critical debt-service pressure",IF(K41&lt;'Assumptions'!$B$24,"Tighter headroom","Within screen"))</x:f>
        <x:v>Within screen</x:v>
      </x:c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  <x:c r="AA41" s="73"/>
    </x:row>
    <x:row r="42">
      <x:c r="A42" s="38" t="str">
        <x:f>'Assumptions'!A6</x:f>
        <x:v>Severe</x:v>
      </x:c>
      <x:c r="B42" s="38" t="str">
        <x:f>'Latest_Snapshot'!A12</x:f>
        <x:v>Rolls-Royce</x:v>
      </x:c>
      <x:c r="C42" s="38" t="str">
        <x:f>'Latest_Snapshot'!B12</x:f>
        <x:v>RR</x:v>
      </x:c>
      <x:c r="D42" s="38" t="str">
        <x:f>'Latest_Snapshot'!C12</x:f>
        <x:v>Industrials &amp; Services</x:v>
      </x:c>
      <x:c r="E42" s="38" t="n">
        <x:f>'Latest_Snapshot'!E12</x:f>
        <x:v>2025</x:v>
      </x:c>
      <x:c r="F42" s="50" t="n">
        <x:f>'Latest_Snapshot'!F12*(1+'Assumptions'!B6)</x:f>
        <x:v>19086.3</x:v>
      </x:c>
      <x:c r="G42" s="50" t="n">
        <x:f>'Latest_Snapshot'!G12*(1+'Assumptions'!C6)</x:f>
        <x:v>3574.4</x:v>
      </x:c>
      <x:c r="H42" s="50" t="n">
        <x:f>'Latest_Snapshot'!H12*(1+'Assumptions'!D6)</x:f>
        <x:v>598.75</x:v>
      </x:c>
      <x:c r="I42" s="50" t="n">
        <x:f>'Latest_Snapshot'!I12*(1+'Assumptions'!E6)</x:f>
        <x:v>5711.200000000001</x:v>
      </x:c>
      <x:c r="J42" s="45" t="n">
        <x:f>'Latest_Snapshot'!J12+'Assumptions'!F6</x:f>
        <x:v>0.126</x:v>
      </x:c>
      <x:c r="K42" s="48" t="n">
        <x:f>IFERROR(G42/ABS(H42),"")</x:f>
        <x:v>5.969770354906054</x:v>
      </x:c>
      <x:c r="L42" s="48" t="n">
        <x:f>IF(G42&lt;=0,"",I42/G42)</x:f>
        <x:v>1.5978066248880933</x:v>
      </x:c>
      <x:c r="M42" s="48" t="n">
        <x:f>IFERROR(I42/F42,"")</x:f>
        <x:v>0.2992303379911246</x:v>
      </x:c>
      <x:c r="N42" s="40" t="str">
        <x:f>IF(K42&lt;'Assumptions'!$C$24,"Critical debt-service pressure",IF(K42&lt;'Assumptions'!$B$24,"Tighter headroom","Within screen"))</x:f>
        <x:v>Within screen</x:v>
      </x:c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  <x:c r="AA42" s="73"/>
    </x:row>
    <x:row r="43">
      <x:c r="A43" s="38" t="str">
        <x:f>'Assumptions'!A6</x:f>
        <x:v>Severe</x:v>
      </x:c>
      <x:c r="B43" s="38" t="str">
        <x:f>'Latest_Snapshot'!A13</x:f>
        <x:v>SSE</x:v>
      </x:c>
      <x:c r="C43" s="38" t="str">
        <x:f>'Latest_Snapshot'!B13</x:f>
        <x:v>SSE</x:v>
      </x:c>
      <x:c r="D43" s="38" t="str">
        <x:f>'Latest_Snapshot'!C13</x:f>
        <x:v>Utilities</x:v>
      </x:c>
      <x:c r="E43" s="38" t="n">
        <x:f>'Latest_Snapshot'!E13</x:f>
        <x:v>2026</x:v>
      </x:c>
      <x:c r="F43" s="50" t="n">
        <x:f>'Latest_Snapshot'!F13*(1+'Assumptions'!B6)</x:f>
        <x:v>9168.300000000001</x:v>
      </x:c>
      <x:c r="G43" s="50" t="n">
        <x:f>'Latest_Snapshot'!G13*(1+'Assumptions'!C6)</x:f>
        <x:v>1511.2</x:v>
      </x:c>
      <x:c r="H43" s="50" t="n">
        <x:f>'Latest_Snapshot'!H13*(1+'Assumptions'!D6)</x:f>
        <x:v>388</x:v>
      </x:c>
      <x:c r="I43" s="50" t="n">
        <x:f>'Latest_Snapshot'!I13*(1+'Assumptions'!E6)</x:f>
        <x:v>11133.1</x:v>
      </x:c>
      <x:c r="J43" s="45" t="n">
        <x:f>'Latest_Snapshot'!J13+'Assumptions'!F6</x:f>
        <x:v>-0.12990000000000002</x:v>
      </x:c>
      <x:c r="K43" s="48" t="n">
        <x:f>IFERROR(G43/ABS(H43),"")</x:f>
        <x:v>3.894845360824742</x:v>
      </x:c>
      <x:c r="L43" s="48" t="n">
        <x:f>IF(G43&lt;=0,"",I43/G43)</x:f>
        <x:v>7.367059290629963</x:v>
      </x:c>
      <x:c r="M43" s="48" t="n">
        <x:f>IFERROR(I43/F43,"")</x:f>
        <x:v>1.2143036331708168</x:v>
      </x:c>
      <x:c r="N43" s="40" t="str">
        <x:f>IF(K43&lt;'Assumptions'!$C$24,"Critical debt-service pressure",IF(K43&lt;'Assumptions'!$B$24,"Tighter headroom","Within screen"))</x:f>
        <x:v>Within screen</x:v>
      </x:c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  <x:c r="AA43" s="73"/>
    </x:row>
    <x:row r="44">
      <x:c r="A44" s="38" t="str">
        <x:f>'Assumptions'!A6</x:f>
        <x:v>Severe</x:v>
      </x:c>
      <x:c r="B44" s="38" t="str">
        <x:f>'Latest_Snapshot'!A14</x:f>
        <x:v>Smith &amp; Nephew</x:v>
      </x:c>
      <x:c r="C44" s="38" t="str">
        <x:f>'Latest_Snapshot'!B14</x:f>
        <x:v>SN</x:v>
      </x:c>
      <x:c r="D44" s="38" t="str">
        <x:f>'Latest_Snapshot'!C14</x:f>
        <x:v>Healthcare</x:v>
      </x:c>
      <x:c r="E44" s="38" t="n">
        <x:f>'Latest_Snapshot'!E14</x:f>
        <x:v>2025</x:v>
      </x:c>
      <x:c r="F44" s="50" t="n">
        <x:f>'Latest_Snapshot'!F14*(1+'Assumptions'!B6)</x:f>
        <x:v>5547.6</x:v>
      </x:c>
      <x:c r="G44" s="50" t="n">
        <x:f>'Latest_Snapshot'!G14*(1+'Assumptions'!C6)</x:f>
        <x:v>701.6</x:v>
      </x:c>
      <x:c r="H44" s="50" t="n">
        <x:f>'Latest_Snapshot'!H14*(1+'Assumptions'!D6)</x:f>
        <x:v>175</x:v>
      </x:c>
      <x:c r="I44" s="50" t="n">
        <x:f>'Latest_Snapshot'!I14*(1+'Assumptions'!E6)</x:f>
        <x:v>3659.7000000000003</x:v>
      </x:c>
      <x:c r="J44" s="45" t="n">
        <x:f>'Latest_Snapshot'!J14+'Assumptions'!F6</x:f>
        <x:v>0.07819999999999999</x:v>
      </x:c>
      <x:c r="K44" s="48" t="n">
        <x:f>IFERROR(G44/ABS(H44),"")</x:f>
        <x:v>4.009142857142857</x:v>
      </x:c>
      <x:c r="L44" s="48" t="n">
        <x:f>IF(G44&lt;=0,"",I44/G44)</x:f>
        <x:v>5.216220068415051</x:v>
      </x:c>
      <x:c r="M44" s="48" t="n">
        <x:f>IFERROR(I44/F44,"")</x:f>
        <x:v>0.659690677049535</x:v>
      </x:c>
      <x:c r="N44" s="40" t="str">
        <x:f>IF(K44&lt;'Assumptions'!$C$24,"Critical debt-service pressure",IF(K44&lt;'Assumptions'!$B$24,"Tighter headroom","Within screen"))</x:f>
        <x:v>Within screen</x:v>
      </x:c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  <x:c r="AA44" s="73"/>
    </x:row>
    <x:row r="45">
      <x:c r="A45" s="38" t="str">
        <x:f>'Assumptions'!A6</x:f>
        <x:v>Severe</x:v>
      </x:c>
      <x:c r="B45" s="38" t="str">
        <x:f>'Latest_Snapshot'!A15</x:f>
        <x:v>Tesco</x:v>
      </x:c>
      <x:c r="C45" s="38" t="str">
        <x:f>'Latest_Snapshot'!B15</x:f>
        <x:v>TSCO</x:v>
      </x:c>
      <x:c r="D45" s="38" t="str">
        <x:f>'Latest_Snapshot'!C15</x:f>
        <x:v>Consumer &amp; Retail</x:v>
      </x:c>
      <x:c r="E45" s="38" t="n">
        <x:f>'Latest_Snapshot'!E15</x:f>
        <x:v>2025</x:v>
      </x:c>
      <x:c r="F45" s="50" t="n">
        <x:f>'Latest_Snapshot'!F15*(1+'Assumptions'!B6)</x:f>
        <x:v>62924.4</x:v>
      </x:c>
      <x:c r="G45" s="50" t="n">
        <x:f>'Latest_Snapshot'!G15*(1+'Assumptions'!C6)</x:f>
        <x:v>2399.2000000000003</x:v>
      </x:c>
      <x:c r="H45" s="50" t="n">
        <x:f>'Latest_Snapshot'!H15*(1+'Assumptions'!D6)</x:f>
        <x:v>961.25</x:v>
      </x:c>
      <x:c r="I45" s="50" t="n">
        <x:f>'Latest_Snapshot'!I15*(1+'Assumptions'!E6)</x:f>
        <x:v>16132.600000000002</x:v>
      </x:c>
      <x:c r="J45" s="45" t="n">
        <x:f>'Latest_Snapshot'!J15+'Assumptions'!F6</x:f>
        <x:v>-0.036</x:v>
      </x:c>
      <x:c r="K45" s="48" t="n">
        <x:f>IFERROR(G45/ABS(H45),"")</x:f>
        <x:v>2.49591677503251</x:v>
      </x:c>
      <x:c r="L45" s="48" t="n">
        <x:f>IF(G45&lt;=0,"",I45/G45)</x:f>
        <x:v>6.724158052684229</x:v>
      </x:c>
      <x:c r="M45" s="48" t="n">
        <x:f>IFERROR(I45/F45,"")</x:f>
        <x:v>0.2563806726802322</x:v>
      </x:c>
      <x:c r="N45" s="40" t="str">
        <x:f>IF(K45&lt;'Assumptions'!$C$24,"Critical debt-service pressure",IF(K45&lt;'Assumptions'!$B$24,"Tighter headroom","Within screen"))</x:f>
        <x:v>Within screen</x:v>
      </x:c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  <x:c r="AA45" s="73"/>
    </x:row>
    <x:row r="46">
      <x:c r="A46" s="38" t="str">
        <x:f>'Assumptions'!A6</x:f>
        <x:v>Severe</x:v>
      </x:c>
      <x:c r="B46" s="38" t="str">
        <x:f>'Latest_Snapshot'!A16</x:f>
        <x:v>Unilever</x:v>
      </x:c>
      <x:c r="C46" s="38" t="str">
        <x:f>'Latest_Snapshot'!B16</x:f>
        <x:v>ULVR</x:v>
      </x:c>
      <x:c r="D46" s="38" t="str">
        <x:f>'Latest_Snapshot'!C16</x:f>
        <x:v>Consumer &amp; Retail</x:v>
      </x:c>
      <x:c r="E46" s="38" t="n">
        <x:f>'Latest_Snapshot'!E16</x:f>
        <x:v>2025</x:v>
      </x:c>
      <x:c r="F46" s="50" t="n">
        <x:f>'Latest_Snapshot'!F16*(1+'Assumptions'!B6)</x:f>
        <x:v>45452.700000000004</x:v>
      </x:c>
      <x:c r="G46" s="50" t="n">
        <x:f>'Latest_Snapshot'!G16*(1+'Assumptions'!C6)</x:f>
        <x:v>8101.6</x:v>
      </x:c>
      <x:c r="H46" s="50" t="n">
        <x:f>'Latest_Snapshot'!H16*(1+'Assumptions'!D6)</x:f>
        <x:v>1372.5</x:v>
      </x:c>
      <x:c r="I46" s="50" t="n">
        <x:f>'Latest_Snapshot'!I16*(1+'Assumptions'!E6)</x:f>
        <x:v>31105.800000000003</x:v>
      </x:c>
      <x:c r="J46" s="45" t="n">
        <x:f>'Latest_Snapshot'!J16+'Assumptions'!F6</x:f>
        <x:v>0.07730000000000001</x:v>
      </x:c>
      <x:c r="K46" s="48" t="n">
        <x:f>IFERROR(G46/ABS(H46),"")</x:f>
        <x:v>5.9028051001821495</x:v>
      </x:c>
      <x:c r="L46" s="48" t="n">
        <x:f>IF(G46&lt;=0,"",I46/G46)</x:f>
        <x:v>3.8394638096178535</x:v>
      </x:c>
      <x:c r="M46" s="48" t="n">
        <x:f>IFERROR(I46/F46,"")</x:f>
        <x:v>0.684355384828624</x:v>
      </x:c>
      <x:c r="N46" s="40" t="str">
        <x:f>IF(K46&lt;'Assumptions'!$C$24,"Critical debt-service pressure",IF(K46&lt;'Assumptions'!$B$24,"Tighter headroom","Within screen"))</x:f>
        <x:v>Within screen</x:v>
      </x:c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  <x:c r="AA46" s="73"/>
    </x:row>
    <x:row r="47">
      <x:c r="A47" s="38" t="str">
        <x:f>'Assumptions'!A6</x:f>
        <x:v>Severe</x:v>
      </x:c>
      <x:c r="B47" s="38" t="str">
        <x:f>'Latest_Snapshot'!A17</x:f>
        <x:v>United Utilities</x:v>
      </x:c>
      <x:c r="C47" s="38" t="str">
        <x:f>'Latest_Snapshot'!B17</x:f>
        <x:v>UU</x:v>
      </x:c>
      <x:c r="D47" s="38" t="str">
        <x:f>'Latest_Snapshot'!C17</x:f>
        <x:v>Utilities</x:v>
      </x:c>
      <x:c r="E47" s="38" t="n">
        <x:f>'Latest_Snapshot'!E17</x:f>
        <x:v>2026</x:v>
      </x:c>
      <x:c r="F47" s="50" t="n">
        <x:f>'Latest_Snapshot'!F17*(1+'Assumptions'!B6)</x:f>
        <x:v>2354.4</x:v>
      </x:c>
      <x:c r="G47" s="50" t="n">
        <x:f>'Latest_Snapshot'!G17*(1+'Assumptions'!C6)</x:f>
        <x:v>879.2</x:v>
      </x:c>
      <x:c r="H47" s="50" t="n">
        <x:f>'Latest_Snapshot'!H17*(1+'Assumptions'!D6)</x:f>
        <x:v>519.625</x:v>
      </x:c>
      <x:c r="I47" s="50" t="n">
        <x:f>'Latest_Snapshot'!I17*(1+'Assumptions'!E6)</x:f>
        <x:v>12639.99</x:v>
      </x:c>
      <x:c r="J47" s="45" t="n">
        <x:f>'Latest_Snapshot'!J17+'Assumptions'!F6</x:f>
        <x:v>-0.10200000000000001</x:v>
      </x:c>
      <x:c r="K47" s="48" t="n">
        <x:f>IFERROR(G47/ABS(H47),"")</x:f>
        <x:v>1.6919894154438297</x:v>
      </x:c>
      <x:c r="L47" s="48" t="n">
        <x:f>IF(G47&lt;=0,"",I47/G47)</x:f>
        <x:v>14.376694722474976</x:v>
      </x:c>
      <x:c r="M47" s="48" t="n">
        <x:f>IFERROR(I47/F47,"")</x:f>
        <x:v>5.368667176350662</x:v>
      </x:c>
      <x:c r="N47" s="40" t="str">
        <x:f>IF(K47&lt;'Assumptions'!$C$24,"Critical debt-service pressure",IF(K47&lt;'Assumptions'!$B$24,"Tighter headroom","Within screen"))</x:f>
        <x:v>Tighter headroom</x:v>
      </x:c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  <x:c r="AA47" s="73"/>
    </x:row>
    <x:row r="48">
      <x:c r="A48" s="38" t="str">
        <x:f>'Assumptions'!A6</x:f>
        <x:v>Severe</x:v>
      </x:c>
      <x:c r="B48" s="38" t="str">
        <x:f>'Latest_Snapshot'!A18</x:f>
        <x:v>Vodafone</x:v>
      </x:c>
      <x:c r="C48" s="38" t="str">
        <x:f>'Latest_Snapshot'!B18</x:f>
        <x:v>VOD</x:v>
      </x:c>
      <x:c r="D48" s="38" t="str">
        <x:f>'Latest_Snapshot'!C18</x:f>
        <x:v>Telecom</x:v>
      </x:c>
      <x:c r="E48" s="38" t="n">
        <x:f>'Latest_Snapshot'!E18</x:f>
        <x:v>2026</x:v>
      </x:c>
      <x:c r="F48" s="50" t="n">
        <x:f>'Latest_Snapshot'!F18*(1+'Assumptions'!B6)</x:f>
        <x:v>36414.9</x:v>
      </x:c>
      <x:c r="G48" s="50" t="n">
        <x:f>'Latest_Snapshot'!G18*(1+'Assumptions'!C6)</x:f>
        <x:v>2519.2000000000003</x:v>
      </x:c>
      <x:c r="H48" s="50" t="n">
        <x:f>'Latest_Snapshot'!H18*(1+'Assumptions'!D6)</x:f>
        <x:v>2767.5</x:v>
      </x:c>
      <x:c r="I48" s="50" t="n">
        <x:f>'Latest_Snapshot'!I18*(1+'Assumptions'!E6)</x:f>
        <x:v>59892.8</x:v>
      </x:c>
      <x:c r="J48" s="45" t="n">
        <x:f>'Latest_Snapshot'!J18+'Assumptions'!F6</x:f>
        <x:v>0.1728</x:v>
      </x:c>
      <x:c r="K48" s="48" t="n">
        <x:f>IFERROR(G48/ABS(H48),"")</x:f>
        <x:v>0.9102800361336948</x:v>
      </x:c>
      <x:c r="L48" s="48" t="n">
        <x:f>IF(G48&lt;=0,"",I48/G48)</x:f>
        <x:v>23.774531597332484</x:v>
      </x:c>
      <x:c r="M48" s="48" t="n">
        <x:f>IFERROR(I48/F48,"")</x:f>
        <x:v>1.6447333371779134</x:v>
      </x:c>
      <x:c r="N48" s="40" t="str">
        <x:f>IF(K48&lt;'Assumptions'!$C$24,"Critical debt-service pressure",IF(K48&lt;'Assumptions'!$B$24,"Tighter headroom","Within screen"))</x:f>
        <x:v>Critical debt-service pressure</x:v>
      </x:c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  <x:c r="AA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  <x:c r="AA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  <x:c r="AA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  <x:c r="AA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  <x:c r="AA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  <x:c r="AA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  <x:c r="AA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  <x:c r="AA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  <x:c r="AA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  <x:c r="AA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  <x:c r="AA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  <x:c r="AA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  <x:c r="AA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  <x:c r="AA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  <x:c r="AA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  <x:c r="AA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  <x:c r="AA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  <x:c r="AA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  <x:c r="AA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  <x:c r="AA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  <x:c r="AA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  <x:c r="AA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  <x:c r="AA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  <x:c r="AA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  <x:c r="AA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  <x:c r="AA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  <x:c r="AA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  <x:c r="AA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  <x:c r="AA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  <x:c r="AA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  <x:c r="AA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  <x:c r="AA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  <x:c r="AA80" s="73"/>
    </x:row>
  </x:sheetData>
  <x:mergeCells>
    <x:mergeCell ref="A1:N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23" hidden="0" customWidth="1"/>
    <x:col min="4" max="4" width="7" hidden="0" customWidth="1"/>
    <x:col min="5" max="5" width="13" hidden="0" customWidth="1"/>
    <x:col min="6" max="6" width="16" hidden="0" customWidth="1"/>
    <x:col min="7" max="7" width="14" hidden="0" customWidth="1"/>
    <x:col min="8" max="8" width="11" hidden="0" customWidth="1"/>
    <x:col min="9" max="9" width="12" hidden="0" customWidth="1"/>
    <x:col min="10" max="10" width="17" hidden="0" customWidth="1"/>
    <x:col min="11" max="11" width="15" hidden="0" customWidth="1"/>
    <x:col min="12" max="12" width="14" hidden="0" customWidth="1"/>
    <x:col min="13" max="13" width="14" hidden="0" customWidth="1"/>
    <x:col min="14" max="14" width="16" hidden="0" customWidth="1"/>
    <x:col min="15" max="15" width="14" hidden="0" customWidth="1"/>
    <x:col min="16" max="16" width="14" hidden="0" customWidth="1"/>
    <x:col min="17" max="17" width="17" hidden="0" customWidth="1"/>
    <x:col min="18" max="18" width="16" hidden="0" customWidth="1"/>
    <x:col min="19" max="19" width="12" hidden="0" customWidth="1"/>
    <x:col min="20" max="20" width="14" hidden="0" customWidth="1"/>
    <x:col min="21" max="21" width="11" hidden="0" customWidth="1"/>
    <x:col min="22" max="22" width="12" hidden="0" customWidth="1"/>
    <x:col min="23" max="23" width="32" hidden="0" customWidth="1"/>
    <x:col min="24" max="24" width="10" hidden="0" customWidth="1"/>
    <x:col min="25" max="25" width="18" hidden="0" customWidth="1"/>
    <x:col min="26" max="26" width="7" hidden="0" customWidth="1"/>
    <x:col min="27" max="27" width="35" hidden="0" customWidth="1"/>
  </x:cols>
  <x:sheetData>
    <x:row r="1">
      <x:c r="A1" s="82" t="str">
        <x:v>Watchlist — Relative Risk Score + Rule-Based Early-Warning Triggers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  <x:c r="AA1" s="72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  <x:c r="AA2" s="73"/>
    </x:row>
    <x:row r="3">
      <x:c r="A3" s="74" t="str">
        <x:v>Company</x:v>
      </x:c>
      <x:c r="B3" s="74" t="str">
        <x:v>Ticker</x:v>
      </x:c>
      <x:c r="C3" s="74" t="str">
        <x:v>Sector</x:v>
      </x:c>
      <x:c r="D3" s="74" t="str">
        <x:v>FY</x:v>
      </x:c>
      <x:c r="E3" s="74" t="str">
        <x:v>Debt / EBIT</x:v>
      </x:c>
      <x:c r="F3" s="74" t="str">
        <x:v>Interest Coverage</x:v>
      </x:c>
      <x:c r="G3" s="74" t="str">
        <x:v>Debt / Revenue</x:v>
      </x:c>
      <x:c r="H3" s="74" t="str">
        <x:v>FCF Margin</x:v>
      </x:c>
      <x:c r="I3" s="74" t="str">
        <x:v>Debt Growth</x:v>
      </x:c>
      <x:c r="J3" s="74" t="str">
        <x:v>EBIT Margin Change</x:v>
      </x:c>
      <x:c r="K3" s="74" t="str">
        <x:v>Severe Coverage</x:v>
      </x:c>
      <x:c r="L3" s="74" t="str">
        <x:v>Risk: Debt/EBIT</x:v>
      </x:c>
      <x:c r="M3" s="74" t="str">
        <x:v>Risk: Coverage</x:v>
      </x:c>
      <x:c r="N3" s="74" t="str">
        <x:v>Risk: Debt/Revenue</x:v>
      </x:c>
      <x:c r="O3" s="74" t="str">
        <x:v>Risk: FCF Margin</x:v>
      </x:c>
      <x:c r="P3" s="74" t="str">
        <x:v>Risk: Debt Growth</x:v>
      </x:c>
      <x:c r="Q3" s="74" t="str">
        <x:v>Risk: Severe Coverage</x:v>
      </x:c>
      <x:c r="R3" s="74" t="str">
        <x:v>Risk: Margin Change</x:v>
      </x:c>
      <x:c r="S3" s="74" t="str">
        <x:v>Risk Score</x:v>
      </x:c>
      <x:c r="T3" s="74" t="str">
        <x:v>Sector Risk %ile</x:v>
      </x:c>
      <x:c r="U3" s="74" t="str">
        <x:v>Red Triggers</x:v>
      </x:c>
      <x:c r="V3" s="74" t="str">
        <x:v>Amber Triggers</x:v>
      </x:c>
      <x:c r="W3" s="74" t="str">
        <x:v>Main Trigger</x:v>
      </x:c>
      <x:c r="X3" s="74" t="str">
        <x:v>Status</x:v>
      </x:c>
      <x:c r="Y3" s="74" t="str">
        <x:v>Action</x:v>
      </x:c>
      <x:c r="Z3" s="74" t="str">
        <x:v>Rank</x:v>
      </x:c>
      <x:c r="AA3" s="74" t="str">
        <x:v>Trigger Summary</x:v>
      </x:c>
    </x:row>
    <x:row r="4">
      <x:c r="A4" s="38" t="str">
        <x:f>'Latest_Snapshot'!A17</x:f>
        <x:v>United Utilities</x:v>
      </x:c>
      <x:c r="B4" s="38" t="str">
        <x:f>'Latest_Snapshot'!B17</x:f>
        <x:v>UU</x:v>
      </x:c>
      <x:c r="C4" s="38" t="str">
        <x:f>'Latest_Snapshot'!C17</x:f>
        <x:v>Utilities</x:v>
      </x:c>
      <x:c r="D4" s="38" t="n">
        <x:f>'Latest_Snapshot'!E17</x:f>
        <x:v>2026</x:v>
      </x:c>
      <x:c r="E4" s="52" t="n">
        <x:f>'Latest_Snapshot'!N17</x:f>
        <x:v>10.455777979981802</x:v>
      </x:c>
      <x:c r="F4" s="52" t="n">
        <x:f>'Latest_Snapshot'!L17</x:f>
        <x:v>2.6437334616309838</x:v>
      </x:c>
      <x:c r="G4" s="52" t="n">
        <x:f>'Latest_Snapshot'!M17</x:f>
        <x:v>4.392545871559633</x:v>
      </x:c>
      <x:c r="H4" s="44" t="n">
        <x:f>'Latest_Snapshot'!J17</x:f>
        <x:v>-0.042</x:v>
      </x:c>
      <x:c r="I4" s="44" t="n">
        <x:f>'Latest_Snapshot'!O17</x:f>
        <x:v>0.06504713090063108</x:v>
      </x:c>
      <x:c r="J4" s="44" t="n">
        <x:f>'Latest_Snapshot'!P17</x:f>
        <x:v>0.12570143923354937</x:v>
      </x:c>
      <x:c r="K4" s="52" t="n">
        <x:f>'Stress_Test'!K47</x:f>
        <x:v>1.6919894154438297</x:v>
      </x:c>
      <x:c r="L4" s="45" t="n">
        <x:f>IFERROR((RANK.EQ(E4,$E$4:$E$18,1)-1)/(ROWS($E$4:$E$18)-1),0)</x:f>
        <x:v>0.9285714285714286</x:v>
      </x:c>
      <x:c r="M4" s="45" t="n">
        <x:f>IFERROR((RANK.EQ(F4,$F$4:$F$18,0)-1)/(ROWS($F$4:$F$18)-1),0)</x:f>
        <x:v>0.8571428571428571</x:v>
      </x:c>
      <x:c r="N4" s="45" t="n">
        <x:f>IFERROR((RANK.EQ(G4,$G$4:$G$18,1)-1)/(ROWS($G$4:$G$18)-1),0)</x:f>
        <x:v>1</x:v>
      </x:c>
      <x:c r="O4" s="45" t="n">
        <x:f>IFERROR((RANK.EQ(H4,$H$4:$H$18,0)-1)/(ROWS($H$4:$H$18)-1),0)</x:f>
        <x:v>0.8571428571428571</x:v>
      </x:c>
      <x:c r="P4" s="45" t="n">
        <x:f>IFERROR((RANK.EQ(I4,$I$4:$I$18,1)-1)/(ROWS($I$4:$I$18)-1),0)</x:f>
        <x:v>0.7857142857142857</x:v>
      </x:c>
      <x:c r="Q4" s="45" t="n">
        <x:f>IFERROR((RANK.EQ(K4,$K$4:$K$18,0)-1)/(ROWS($K$4:$K$18)-1),0)</x:f>
        <x:v>0.8571428571428571</x:v>
      </x:c>
      <x:c r="R4" s="45" t="n">
        <x:f>IFERROR((RANK.EQ(J4,$J$4:$J$18,0)-1)/(ROWS($J$4:$J$18)-1),0)</x:f>
        <x:v>0</x:v>
      </x:c>
      <x:c r="S4" s="56" t="n">
        <x:f>100*(L4*'Assumptions'!$B$10+M4*'Assumptions'!$B$11+N4*'Assumptions'!$B$12+O4*'Assumptions'!$B$13+P4*'Assumptions'!$B$14+Q4*'Assumptions'!$B$15+R4*'Assumptions'!$B$16)</x:f>
        <x:v>84.64285714285714</x:v>
      </x:c>
      <x:c r="T4" s="45" t="n">
        <x:f>IF(COUNTIF($C$4:$C$18,C4)&lt;=1,0.5,(COUNTIFS($C$4:$C$18,C4,$S$4:$S$18,"&lt;="&amp;S4)-1)/(COUNTIF($C$4:$C$18,C4)-1))</x:f>
        <x:v>1</x:v>
      </x:c>
      <x:c r="U4" s="58" t="n">
        <x:f>IF(F4&lt;'Assumptions'!$C$20,1,0)+IF(E4&gt;'Assumptions'!$C$21,1,0)+IF(I4&gt;'Assumptions'!$C$22,1,0)+IF(H4&lt;'Assumptions'!$C$23,1,0)+IF(K4&lt;'Assumptions'!$C$24,1,0)+IF(J4&lt;'Assumptions'!$C$25,1,0)</x:f>
        <x:v>1</x:v>
      </x:c>
      <x:c r="V4" s="58" t="n">
        <x:f>IF(AND(F4&gt;='Assumptions'!$C$20,F4&lt;'Assumptions'!$B$20),1,0)+IF(AND(E4&lt;='Assumptions'!$C$21,E4&gt;'Assumptions'!$B$21),1,0)+IF(AND(I4&lt;='Assumptions'!$C$22,I4&gt;'Assumptions'!$B$22),1,0)+IF(AND(H4&gt;='Assumptions'!$C$23,H4&lt;'Assumptions'!$B$23),1,0)+IF(AND(K4&gt;='Assumptions'!$C$24,K4&lt;'Assumptions'!$B$24),1,0)+IF(AND(J4&gt;='Assumptions'!$C$25,J4&lt;'Assumptions'!$B$25),1,0)</x:f>
        <x:v>2</x:v>
      </x:c>
      <x:c r="W4" s="40" t="str">
        <x:f>IF(F4&lt;'Assumptions'!$C$20,"Interest coverage &lt; red threshold",IF(K4&lt;'Assumptions'!$C$24,"Severe coverage &lt; red threshold",IF(E4&gt;'Assumptions'!$C$21,"Debt / EBIT &gt; red threshold",IF(H4&lt;'Assumptions'!$C$23,"FCF margin &lt; red threshold",IF(I4&gt;'Assumptions'!$C$22,"Debt growth &gt; red threshold",IF(F4&lt;'Assumptions'!$B$20,"Interest coverage &lt; amber threshold",IF(E4&gt;'Assumptions'!$B$21,"Debt / EBIT &gt; amber threshold",IF(H4&lt;'Assumptions'!$B$23,"FCF margin &lt; amber threshold",IF(I4&gt;'Assumptions'!$B$22,"Debt growth &gt; amber threshold",IF(K4&lt;'Assumptions'!$B$24,"Severe coverage &lt; amber threshold",IF(J4&lt;'Assumptions'!$B$25,"EBIT margin deterioration","None")))))))))))</x:f>
        <x:v>Debt / EBIT &gt; red threshold</x:v>
      </x:c>
      <x:c r="X4" s="40" t="str">
        <x:f>IF(OR(F4&lt;'Assumptions'!$C$20,K4&lt;'Assumptions'!$C$24,U4&gt;=2,S4&gt;=80),"RED",IF(OR(U4+V4&gt;0,S4&gt;=60),"AMBER","GREEN"))</x:f>
        <x:v>RED</x:v>
      </x:c>
      <x:c r="Y4" s="40" t="str">
        <x:f>IF(X4="RED","Escalate",IF(X4="AMBER","Enhanced Review","Routine Monitor"))</x:f>
        <x:v>Escalate</x:v>
      </x:c>
      <x:c r="Z4" s="58" t="n">
        <x:f>RANK.EQ(S4,$S$4:$S$18,0)</x:f>
        <x:v>1</x:v>
      </x:c>
      <x:c r="AA4" s="40" t="str">
        <x:f>IF(U4+V4=0,"No hard threshold triggered",W4)</x:f>
        <x:v>Debt / EBIT &gt; red threshold</x:v>
      </x:c>
    </x:row>
    <x:row r="5">
      <x:c r="A5" s="38" t="str">
        <x:f>'Latest_Snapshot'!A9</x:f>
        <x:v>National Grid</x:v>
      </x:c>
      <x:c r="B5" s="38" t="str">
        <x:f>'Latest_Snapshot'!B9</x:f>
        <x:v>NG</x:v>
      </x:c>
      <x:c r="C5" s="38" t="str">
        <x:f>'Latest_Snapshot'!C9</x:f>
        <x:v>Utilities</x:v>
      </x:c>
      <x:c r="D5" s="38" t="n">
        <x:f>'Latest_Snapshot'!E9</x:f>
        <x:v>2026</x:v>
      </x:c>
      <x:c r="E5" s="52" t="n">
        <x:f>'Latest_Snapshot'!N9</x:f>
        <x:v>9.229057844844263</x:v>
      </x:c>
      <x:c r="F5" s="52" t="n">
        <x:f>'Latest_Snapshot'!L9</x:f>
        <x:v>3.387287024901704</x:v>
      </x:c>
      <x:c r="G5" s="52" t="n">
        <x:f>'Latest_Snapshot'!M9</x:f>
        <x:v>2.697178718833041</x:v>
      </x:c>
      <x:c r="H5" s="44" t="n">
        <x:f>'Latest_Snapshot'!J9</x:f>
        <x:v>-0.1221</x:v>
      </x:c>
      <x:c r="I5" s="44" t="n">
        <x:f>'Latest_Snapshot'!O9</x:f>
        <x:v>-0.019968362881853885</x:v>
      </x:c>
      <x:c r="J5" s="44" t="n">
        <x:f>'Latest_Snapshot'!P9</x:f>
        <x:v>0.02072824812236168</x:v>
      </x:c>
      <x:c r="K5" s="52" t="n">
        <x:f>'Stress_Test'!K39</x:f>
        <x:v>2.1678636959370903</x:v>
      </x:c>
      <x:c r="L5" s="45" t="n">
        <x:f>IFERROR((RANK.EQ(E5,$E$4:$E$18,1)-1)/(ROWS($E$4:$E$18)-1),0)</x:f>
        <x:v>0.8571428571428571</x:v>
      </x:c>
      <x:c r="M5" s="45" t="n">
        <x:f>IFERROR((RANK.EQ(F5,$F$4:$F$18,0)-1)/(ROWS($F$4:$F$18)-1),0)</x:f>
        <x:v>0.7857142857142857</x:v>
      </x:c>
      <x:c r="N5" s="45" t="n">
        <x:f>IFERROR((RANK.EQ(G5,$G$4:$G$18,1)-1)/(ROWS($G$4:$G$18)-1),0)</x:f>
        <x:v>0.9285714285714286</x:v>
      </x:c>
      <x:c r="O5" s="45" t="n">
        <x:f>IFERROR((RANK.EQ(H5,$H$4:$H$18,0)-1)/(ROWS($H$4:$H$18)-1),0)</x:f>
        <x:v>1</x:v>
      </x:c>
      <x:c r="P5" s="45" t="n">
        <x:f>IFERROR((RANK.EQ(I5,$I$4:$I$18,1)-1)/(ROWS($I$4:$I$18)-1),0)</x:f>
        <x:v>0.42857142857142855</x:v>
      </x:c>
      <x:c r="Q5" s="45" t="n">
        <x:f>IFERROR((RANK.EQ(K5,$K$4:$K$18,0)-1)/(ROWS($K$4:$K$18)-1),0)</x:f>
        <x:v>0.7857142857142857</x:v>
      </x:c>
      <x:c r="R5" s="45" t="n">
        <x:f>IFERROR((RANK.EQ(J5,$J$4:$J$18,0)-1)/(ROWS($J$4:$J$18)-1),0)</x:f>
        <x:v>0.35714285714285715</x:v>
      </x:c>
      <x:c r="S5" s="56" t="n">
        <x:f>100*(L5*'Assumptions'!$B$10+M5*'Assumptions'!$B$11+N5*'Assumptions'!$B$12+O5*'Assumptions'!$B$13+P5*'Assumptions'!$B$14+Q5*'Assumptions'!$B$15+R5*'Assumptions'!$B$16)</x:f>
        <x:v>80</x:v>
      </x:c>
      <x:c r="T5" s="45" t="n">
        <x:f>IF(COUNTIF($C$4:$C$18,C5)&lt;=1,0.5,(COUNTIFS($C$4:$C$18,C5,$S$4:$S$18,"&lt;="&amp;S5)-1)/(COUNTIF($C$4:$C$18,C5)-1))</x:f>
        <x:v>0.5</x:v>
      </x:c>
      <x:c r="U5" s="58" t="n">
        <x:f>IF(F5&lt;'Assumptions'!$C$20,1,0)+IF(E5&gt;'Assumptions'!$C$21,1,0)+IF(I5&gt;'Assumptions'!$C$22,1,0)+IF(H5&lt;'Assumptions'!$C$23,1,0)+IF(K5&lt;'Assumptions'!$C$24,1,0)+IF(J5&lt;'Assumptions'!$C$25,1,0)</x:f>
        <x:v>2</x:v>
      </x:c>
      <x:c r="V5" s="58" t="n">
        <x:f>IF(AND(F5&gt;='Assumptions'!$C$20,F5&lt;'Assumptions'!$B$20),1,0)+IF(AND(E5&lt;='Assumptions'!$C$21,E5&gt;'Assumptions'!$B$21),1,0)+IF(AND(I5&lt;='Assumptions'!$C$22,I5&gt;'Assumptions'!$B$22),1,0)+IF(AND(H5&gt;='Assumptions'!$C$23,H5&lt;'Assumptions'!$B$23),1,0)+IF(AND(K5&gt;='Assumptions'!$C$24,K5&lt;'Assumptions'!$B$24),1,0)+IF(AND(J5&gt;='Assumptions'!$C$25,J5&lt;'Assumptions'!$B$25),1,0)</x:f>
        <x:v>0</x:v>
      </x:c>
      <x:c r="W5" s="40" t="str">
        <x:f>IF(F5&lt;'Assumptions'!$C$20,"Interest coverage &lt; red threshold",IF(K5&lt;'Assumptions'!$C$24,"Severe coverage &lt; red threshold",IF(E5&gt;'Assumptions'!$C$21,"Debt / EBIT &gt; red threshold",IF(H5&lt;'Assumptions'!$C$23,"FCF margin &lt; red threshold",IF(I5&gt;'Assumptions'!$C$22,"Debt growth &gt; red threshold",IF(F5&lt;'Assumptions'!$B$20,"Interest coverage &lt; amber threshold",IF(E5&gt;'Assumptions'!$B$21,"Debt / EBIT &gt; amber threshold",IF(H5&lt;'Assumptions'!$B$23,"FCF margin &lt; amber threshold",IF(I5&gt;'Assumptions'!$B$22,"Debt growth &gt; amber threshold",IF(K5&lt;'Assumptions'!$B$24,"Severe coverage &lt; amber threshold",IF(J5&lt;'Assumptions'!$B$25,"EBIT margin deterioration","None")))))))))))</x:f>
        <x:v>Debt / EBIT &gt; red threshold</x:v>
      </x:c>
      <x:c r="X5" s="40" t="str">
        <x:f>IF(OR(F5&lt;'Assumptions'!$C$20,K5&lt;'Assumptions'!$C$24,U5&gt;=2,S5&gt;=80),"RED",IF(OR(U5+V5&gt;0,S5&gt;=60),"AMBER","GREEN"))</x:f>
        <x:v>RED</x:v>
      </x:c>
      <x:c r="Y5" s="40" t="str">
        <x:f>IF(X5="RED","Escalate",IF(X5="AMBER","Enhanced Review","Routine Monitor"))</x:f>
        <x:v>Escalate</x:v>
      </x:c>
      <x:c r="Z5" s="58" t="n">
        <x:f>RANK.EQ(S5,$S$4:$S$18,0)</x:f>
        <x:v>2</x:v>
      </x:c>
      <x:c r="AA5" s="40" t="str">
        <x:f>IF(U5+V5=0,"No hard threshold triggered",W5)</x:f>
        <x:v>Debt / EBIT &gt; red threshold</x:v>
      </x:c>
    </x:row>
    <x:row r="6">
      <x:c r="A6" s="38" t="str">
        <x:f>'Latest_Snapshot'!A18</x:f>
        <x:v>Vodafone</x:v>
      </x:c>
      <x:c r="B6" s="38" t="str">
        <x:f>'Latest_Snapshot'!B18</x:f>
        <x:v>VOD</x:v>
      </x:c>
      <x:c r="C6" s="38" t="str">
        <x:f>'Latest_Snapshot'!C18</x:f>
        <x:v>Telecom</x:v>
      </x:c>
      <x:c r="D6" s="38" t="n">
        <x:f>'Latest_Snapshot'!E18</x:f>
        <x:v>2026</x:v>
      </x:c>
      <x:c r="E6" s="52" t="n">
        <x:f>'Latest_Snapshot'!N18</x:f>
        <x:v>17.290568434423626</x:v>
      </x:c>
      <x:c r="F6" s="52" t="n">
        <x:f>'Latest_Snapshot'!L18</x:f>
        <x:v>1.4223125564588979</x:v>
      </x:c>
      <x:c r="G6" s="52" t="n">
        <x:f>'Latest_Snapshot'!M18</x:f>
        <x:v>1.3456909122364746</x:v>
      </x:c>
      <x:c r="H6" s="44" t="n">
        <x:f>'Latest_Snapshot'!J18</x:f>
        <x:v>0.2328</x:v>
      </x:c>
      <x:c r="I6" s="44" t="n">
        <x:f>'Latest_Snapshot'!O18</x:f>
        <x:v>-0.01091754618612506</x:v>
      </x:c>
      <x:c r="J6" s="44" t="n">
        <x:f>'Latest_Snapshot'!P18</x:f>
        <x:v>-0.01229694136432033</x:v>
      </x:c>
      <x:c r="K6" s="52" t="n">
        <x:f>'Stress_Test'!K48</x:f>
        <x:v>0.9102800361336948</x:v>
      </x:c>
      <x:c r="L6" s="45" t="n">
        <x:f>IFERROR((RANK.EQ(E6,$E$4:$E$18,1)-1)/(ROWS($E$4:$E$18)-1),0)</x:f>
        <x:v>1</x:v>
      </x:c>
      <x:c r="M6" s="45" t="n">
        <x:f>IFERROR((RANK.EQ(F6,$F$4:$F$18,0)-1)/(ROWS($F$4:$F$18)-1),0)</x:f>
        <x:v>1</x:v>
      </x:c>
      <x:c r="N6" s="45" t="n">
        <x:f>IFERROR((RANK.EQ(G6,$G$4:$G$18,1)-1)/(ROWS($G$4:$G$18)-1),0)</x:f>
        <x:v>0.8571428571428571</x:v>
      </x:c>
      <x:c r="O6" s="45" t="n">
        <x:f>IFERROR((RANK.EQ(H6,$H$4:$H$18,0)-1)/(ROWS($H$4:$H$18)-1),0)</x:f>
        <x:v>0.07142857142857142</x:v>
      </x:c>
      <x:c r="P6" s="45" t="n">
        <x:f>IFERROR((RANK.EQ(I6,$I$4:$I$18,1)-1)/(ROWS($I$4:$I$18)-1),0)</x:f>
        <x:v>0.5714285714285714</x:v>
      </x:c>
      <x:c r="Q6" s="45" t="n">
        <x:f>IFERROR((RANK.EQ(K6,$K$4:$K$18,0)-1)/(ROWS($K$4:$K$18)-1),0)</x:f>
        <x:v>1</x:v>
      </x:c>
      <x:c r="R6" s="45" t="n">
        <x:f>IFERROR((RANK.EQ(J6,$J$4:$J$18,0)-1)/(ROWS($J$4:$J$18)-1),0)</x:f>
        <x:v>1</x:v>
      </x:c>
      <x:c r="S6" s="56" t="n">
        <x:f>100*(L6*'Assumptions'!$B$10+M6*'Assumptions'!$B$11+N6*'Assumptions'!$B$12+O6*'Assumptions'!$B$13+P6*'Assumptions'!$B$14+Q6*'Assumptions'!$B$15+R6*'Assumptions'!$B$16)</x:f>
        <x:v>79.64285714285714</x:v>
      </x:c>
      <x:c r="T6" s="45" t="n">
        <x:f>IF(COUNTIF($C$4:$C$18,C6)&lt;=1,0.5,(COUNTIFS($C$4:$C$18,C6,$S$4:$S$18,"&lt;="&amp;S6)-1)/(COUNTIF($C$4:$C$18,C6)-1))</x:f>
        <x:v>1</x:v>
      </x:c>
      <x:c r="U6" s="58" t="n">
        <x:f>IF(F6&lt;'Assumptions'!$C$20,1,0)+IF(E6&gt;'Assumptions'!$C$21,1,0)+IF(I6&gt;'Assumptions'!$C$22,1,0)+IF(H6&lt;'Assumptions'!$C$23,1,0)+IF(K6&lt;'Assumptions'!$C$24,1,0)+IF(J6&lt;'Assumptions'!$C$25,1,0)</x:f>
        <x:v>3</x:v>
      </x:c>
      <x:c r="V6" s="58" t="n">
        <x:f>IF(AND(F6&gt;='Assumptions'!$C$20,F6&lt;'Assumptions'!$B$20),1,0)+IF(AND(E6&lt;='Assumptions'!$C$21,E6&gt;'Assumptions'!$B$21),1,0)+IF(AND(I6&lt;='Assumptions'!$C$22,I6&gt;'Assumptions'!$B$22),1,0)+IF(AND(H6&gt;='Assumptions'!$C$23,H6&lt;'Assumptions'!$B$23),1,0)+IF(AND(K6&gt;='Assumptions'!$C$24,K6&lt;'Assumptions'!$B$24),1,0)+IF(AND(J6&gt;='Assumptions'!$C$25,J6&lt;'Assumptions'!$B$25),1,0)</x:f>
        <x:v>0</x:v>
      </x:c>
      <x:c r="W6" s="40" t="str">
        <x:f>IF(F6&lt;'Assumptions'!$C$20,"Interest coverage &lt; red threshold",IF(K6&lt;'Assumptions'!$C$24,"Severe coverage &lt; red threshold",IF(E6&gt;'Assumptions'!$C$21,"Debt / EBIT &gt; red threshold",IF(H6&lt;'Assumptions'!$C$23,"FCF margin &lt; red threshold",IF(I6&gt;'Assumptions'!$C$22,"Debt growth &gt; red threshold",IF(F6&lt;'Assumptions'!$B$20,"Interest coverage &lt; amber threshold",IF(E6&gt;'Assumptions'!$B$21,"Debt / EBIT &gt; amber threshold",IF(H6&lt;'Assumptions'!$B$23,"FCF margin &lt; amber threshold",IF(I6&gt;'Assumptions'!$B$22,"Debt growth &gt; amber threshold",IF(K6&lt;'Assumptions'!$B$24,"Severe coverage &lt; amber threshold",IF(J6&lt;'Assumptions'!$B$25,"EBIT margin deterioration","None")))))))))))</x:f>
        <x:v>Interest coverage &lt; red threshold</x:v>
      </x:c>
      <x:c r="X6" s="40" t="str">
        <x:f>IF(OR(F6&lt;'Assumptions'!$C$20,K6&lt;'Assumptions'!$C$24,U6&gt;=2,S6&gt;=80),"RED",IF(OR(U6+V6&gt;0,S6&gt;=60),"AMBER","GREEN"))</x:f>
        <x:v>RED</x:v>
      </x:c>
      <x:c r="Y6" s="40" t="str">
        <x:f>IF(X6="RED","Escalate",IF(X6="AMBER","Enhanced Review","Routine Monitor"))</x:f>
        <x:v>Escalate</x:v>
      </x:c>
      <x:c r="Z6" s="58" t="n">
        <x:f>RANK.EQ(S6,$S$4:$S$18,0)</x:f>
        <x:v>3</x:v>
      </x:c>
      <x:c r="AA6" s="40" t="str">
        <x:f>IF(U6+V6=0,"No hard threshold triggered",W6)</x:f>
        <x:v>Interest coverage &lt; red threshold</x:v>
      </x:c>
    </x:row>
    <x:row r="7">
      <x:c r="A7" s="38" t="str">
        <x:f>'Latest_Snapshot'!A5</x:f>
        <x:v>BT Group</x:v>
      </x:c>
      <x:c r="B7" s="38" t="str">
        <x:f>'Latest_Snapshot'!B5</x:f>
        <x:v>BT.A</x:v>
      </x:c>
      <x:c r="C7" s="38" t="str">
        <x:f>'Latest_Snapshot'!C5</x:f>
        <x:v>Telecom</x:v>
      </x:c>
      <x:c r="D7" s="38" t="n">
        <x:f>'Latest_Snapshot'!E5</x:f>
        <x:v>2026</x:v>
      </x:c>
      <x:c r="E7" s="52" t="n">
        <x:f>'Latest_Snapshot'!N5</x:f>
        <x:v>7.84259578874698</x:v>
      </x:c>
      <x:c r="F7" s="52" t="n">
        <x:f>'Latest_Snapshot'!L5</x:f>
        <x:v>2.073729420186113</x:v>
      </x:c>
      <x:c r="G7" s="52" t="n">
        <x:f>'Latest_Snapshot'!M5</x:f>
        <x:v>1.1559987788745294</x:v>
      </x:c>
      <x:c r="H7" s="44" t="n">
        <x:f>'Latest_Snapshot'!J5</x:f>
        <x:v>0.0947</x:v>
      </x:c>
      <x:c r="I7" s="44" t="n">
        <x:f>'Latest_Snapshot'!O5</x:f>
        <x:v>-0.026271803882912614</x:v>
      </x:c>
      <x:c r="J7" s="44" t="n">
        <x:f>'Latest_Snapshot'!P5</x:f>
        <x:v>0.024991139322520492</x:v>
      </x:c>
      <x:c r="K7" s="52" t="n">
        <x:f>'Stress_Test'!K35</x:f>
        <x:v>1.3271868289191124</x:v>
      </x:c>
      <x:c r="L7" s="45" t="n">
        <x:f>IFERROR((RANK.EQ(E7,$E$4:$E$18,1)-1)/(ROWS($E$4:$E$18)-1),0)</x:f>
        <x:v>0.7857142857142857</x:v>
      </x:c>
      <x:c r="M7" s="45" t="n">
        <x:f>IFERROR((RANK.EQ(F7,$F$4:$F$18,0)-1)/(ROWS($F$4:$F$18)-1),0)</x:f>
        <x:v>0.9285714285714286</x:v>
      </x:c>
      <x:c r="N7" s="45" t="n">
        <x:f>IFERROR((RANK.EQ(G7,$G$4:$G$18,1)-1)/(ROWS($G$4:$G$18)-1),0)</x:f>
        <x:v>0.7857142857142857</x:v>
      </x:c>
      <x:c r="O7" s="45" t="n">
        <x:f>IFERROR((RANK.EQ(H7,$H$4:$H$18,0)-1)/(ROWS($H$4:$H$18)-1),0)</x:f>
        <x:v>0.6428571428571429</x:v>
      </x:c>
      <x:c r="P7" s="45" t="n">
        <x:f>IFERROR((RANK.EQ(I7,$I$4:$I$18,1)-1)/(ROWS($I$4:$I$18)-1),0)</x:f>
        <x:v>0.2857142857142857</x:v>
      </x:c>
      <x:c r="Q7" s="45" t="n">
        <x:f>IFERROR((RANK.EQ(K7,$K$4:$K$18,0)-1)/(ROWS($K$4:$K$18)-1),0)</x:f>
        <x:v>0.9285714285714286</x:v>
      </x:c>
      <x:c r="R7" s="45" t="n">
        <x:f>IFERROR((RANK.EQ(J7,$J$4:$J$18,0)-1)/(ROWS($J$4:$J$18)-1),0)</x:f>
        <x:v>0.2857142857142857</x:v>
      </x:c>
      <x:c r="S7" s="56" t="n">
        <x:f>100*(L7*'Assumptions'!$B$10+M7*'Assumptions'!$B$11+N7*'Assumptions'!$B$12+O7*'Assumptions'!$B$13+P7*'Assumptions'!$B$14+Q7*'Assumptions'!$B$15+R7*'Assumptions'!$B$16)</x:f>
        <x:v>73.21428571428571</x:v>
      </x:c>
      <x:c r="T7" s="45" t="n">
        <x:f>IF(COUNTIF($C$4:$C$18,C7)&lt;=1,0.5,(COUNTIFS($C$4:$C$18,C7,$S$4:$S$18,"&lt;="&amp;S7)-1)/(COUNTIF($C$4:$C$18,C7)-1))</x:f>
        <x:v>0</x:v>
      </x:c>
      <x:c r="U7" s="58" t="n">
        <x:f>IF(F7&lt;'Assumptions'!$C$20,1,0)+IF(E7&gt;'Assumptions'!$C$21,1,0)+IF(I7&gt;'Assumptions'!$C$22,1,0)+IF(H7&lt;'Assumptions'!$C$23,1,0)+IF(K7&lt;'Assumptions'!$C$24,1,0)+IF(J7&lt;'Assumptions'!$C$25,1,0)</x:f>
        <x:v>1</x:v>
      </x:c>
      <x:c r="V7" s="58" t="n">
        <x:f>IF(AND(F7&gt;='Assumptions'!$C$20,F7&lt;'Assumptions'!$B$20),1,0)+IF(AND(E7&lt;='Assumptions'!$C$21,E7&gt;'Assumptions'!$B$21),1,0)+IF(AND(I7&lt;='Assumptions'!$C$22,I7&gt;'Assumptions'!$B$22),1,0)+IF(AND(H7&gt;='Assumptions'!$C$23,H7&lt;'Assumptions'!$B$23),1,0)+IF(AND(K7&gt;='Assumptions'!$C$24,K7&lt;'Assumptions'!$B$24),1,0)+IF(AND(J7&gt;='Assumptions'!$C$25,J7&lt;'Assumptions'!$B$25),1,0)</x:f>
        <x:v>2</x:v>
      </x:c>
      <x:c r="W7" s="40" t="str">
        <x:f>IF(F7&lt;'Assumptions'!$C$20,"Interest coverage &lt; red threshold",IF(K7&lt;'Assumptions'!$C$24,"Severe coverage &lt; red threshold",IF(E7&gt;'Assumptions'!$C$21,"Debt / EBIT &gt; red threshold",IF(H7&lt;'Assumptions'!$C$23,"FCF margin &lt; red threshold",IF(I7&gt;'Assumptions'!$C$22,"Debt growth &gt; red threshold",IF(F7&lt;'Assumptions'!$B$20,"Interest coverage &lt; amber threshold",IF(E7&gt;'Assumptions'!$B$21,"Debt / EBIT &gt; amber threshold",IF(H7&lt;'Assumptions'!$B$23,"FCF margin &lt; amber threshold",IF(I7&gt;'Assumptions'!$B$22,"Debt growth &gt; amber threshold",IF(K7&lt;'Assumptions'!$B$24,"Severe coverage &lt; amber threshold",IF(J7&lt;'Assumptions'!$B$25,"EBIT margin deterioration","None")))))))))))</x:f>
        <x:v>Debt / EBIT &gt; red threshold</x:v>
      </x:c>
      <x:c r="X7" s="40" t="str">
        <x:f>IF(OR(F7&lt;'Assumptions'!$C$20,K7&lt;'Assumptions'!$C$24,U7&gt;=2,S7&gt;=80),"RED",IF(OR(U7+V7&gt;0,S7&gt;=60),"AMBER","GREEN"))</x:f>
        <x:v>AMBER</x:v>
      </x:c>
      <x:c r="Y7" s="40" t="str">
        <x:f>IF(X7="RED","Escalate",IF(X7="AMBER","Enhanced Review","Routine Monitor"))</x:f>
        <x:v>Enhanced Review</x:v>
      </x:c>
      <x:c r="Z7" s="58" t="n">
        <x:f>RANK.EQ(S7,$S$4:$S$18,0)</x:f>
        <x:v>4</x:v>
      </x:c>
      <x:c r="AA7" s="40" t="str">
        <x:f>IF(U7+V7=0,"No hard threshold triggered",W7)</x:f>
        <x:v>Debt / EBIT &gt; red threshold</x:v>
      </x:c>
    </x:row>
    <x:row r="8">
      <x:c r="A8" s="38" t="str">
        <x:f>'Latest_Snapshot'!A11</x:f>
        <x:v>Rentokil Initial</x:v>
      </x:c>
      <x:c r="B8" s="38" t="str">
        <x:f>'Latest_Snapshot'!B11</x:f>
        <x:v>RTO</x:v>
      </x:c>
      <x:c r="C8" s="38" t="str">
        <x:f>'Latest_Snapshot'!C11</x:f>
        <x:v>Industrials &amp; Services</x:v>
      </x:c>
      <x:c r="D8" s="38" t="n">
        <x:f>'Latest_Snapshot'!E11</x:f>
        <x:v>2025</x:v>
      </x:c>
      <x:c r="E8" s="52" t="n">
        <x:f>'Latest_Snapshot'!N11</x:f>
        <x:v>7.015963511972634</x:v>
      </x:c>
      <x:c r="F8" s="52" t="n">
        <x:f>'Latest_Snapshot'!L11</x:f>
        <x:v>3.70042194092827</x:v>
      </x:c>
      <x:c r="G8" s="52" t="n">
        <x:f>'Latest_Snapshot'!M11</x:f>
        <x:v>0.8907064273306311</x:v>
      </x:c>
      <x:c r="H8" s="44" t="n">
        <x:f>'Latest_Snapshot'!J11</x:f>
        <x:v>0.1106</x:v>
      </x:c>
      <x:c r="I8" s="44" t="n">
        <x:f>'Latest_Snapshot'!O11</x:f>
        <x:v>0.18692129629629628</x:v>
      </x:c>
      <x:c r="J8" s="44" t="n">
        <x:f>'Latest_Snapshot'!P11</x:f>
        <x:v>0.01164520349446456</x:v>
      </x:c>
      <x:c r="K8" s="52" t="n">
        <x:f>'Stress_Test'!K41</x:f>
        <x:v>2.368270042194093</x:v>
      </x:c>
      <x:c r="L8" s="45" t="n">
        <x:f>IFERROR((RANK.EQ(E8,$E$4:$E$18,1)-1)/(ROWS($E$4:$E$18)-1),0)</x:f>
        <x:v>0.7142857142857143</x:v>
      </x:c>
      <x:c r="M8" s="45" t="n">
        <x:f>IFERROR((RANK.EQ(F8,$F$4:$F$18,0)-1)/(ROWS($F$4:$F$18)-1),0)</x:f>
        <x:v>0.7142857142857143</x:v>
      </x:c>
      <x:c r="N8" s="45" t="n">
        <x:f>IFERROR((RANK.EQ(G8,$G$4:$G$18,1)-1)/(ROWS($G$4:$G$18)-1),0)</x:f>
        <x:v>0.5714285714285714</x:v>
      </x:c>
      <x:c r="O8" s="45" t="n">
        <x:f>IFERROR((RANK.EQ(H8,$H$4:$H$18,0)-1)/(ROWS($H$4:$H$18)-1),0)</x:f>
        <x:v>0.5714285714285714</x:v>
      </x:c>
      <x:c r="P8" s="45" t="n">
        <x:f>IFERROR((RANK.EQ(I8,$I$4:$I$18,1)-1)/(ROWS($I$4:$I$18)-1),0)</x:f>
        <x:v>1</x:v>
      </x:c>
      <x:c r="Q8" s="45" t="n">
        <x:f>IFERROR((RANK.EQ(K8,$K$4:$K$18,0)-1)/(ROWS($K$4:$K$18)-1),0)</x:f>
        <x:v>0.7142857142857143</x:v>
      </x:c>
      <x:c r="R8" s="45" t="n">
        <x:f>IFERROR((RANK.EQ(J8,$J$4:$J$18,0)-1)/(ROWS($J$4:$J$18)-1),0)</x:f>
        <x:v>0.5</x:v>
      </x:c>
      <x:c r="S8" s="56" t="n">
        <x:f>100*(L8*'Assumptions'!$B$10+M8*'Assumptions'!$B$11+N8*'Assumptions'!$B$12+O8*'Assumptions'!$B$13+P8*'Assumptions'!$B$14+Q8*'Assumptions'!$B$15+R8*'Assumptions'!$B$16)</x:f>
        <x:v>68.92857142857143</x:v>
      </x:c>
      <x:c r="T8" s="45" t="n">
        <x:f>IF(COUNTIF($C$4:$C$18,C8)&lt;=1,0.5,(COUNTIFS($C$4:$C$18,C8,$S$4:$S$18,"&lt;="&amp;S8)-1)/(COUNTIF($C$4:$C$18,C8)-1))</x:f>
        <x:v>1</x:v>
      </x:c>
      <x:c r="U8" s="58" t="n">
        <x:f>IF(F8&lt;'Assumptions'!$C$20,1,0)+IF(E8&gt;'Assumptions'!$C$21,1,0)+IF(I8&gt;'Assumptions'!$C$22,1,0)+IF(H8&lt;'Assumptions'!$C$23,1,0)+IF(K8&lt;'Assumptions'!$C$24,1,0)+IF(J8&lt;'Assumptions'!$C$25,1,0)</x:f>
        <x:v>1</x:v>
      </x:c>
      <x:c r="V8" s="58" t="n">
        <x:f>IF(AND(F8&gt;='Assumptions'!$C$20,F8&lt;'Assumptions'!$B$20),1,0)+IF(AND(E8&lt;='Assumptions'!$C$21,E8&gt;'Assumptions'!$B$21),1,0)+IF(AND(I8&lt;='Assumptions'!$C$22,I8&gt;'Assumptions'!$B$22),1,0)+IF(AND(H8&gt;='Assumptions'!$C$23,H8&lt;'Assumptions'!$B$23),1,0)+IF(AND(K8&gt;='Assumptions'!$C$24,K8&lt;'Assumptions'!$B$24),1,0)+IF(AND(J8&gt;='Assumptions'!$C$25,J8&lt;'Assumptions'!$B$25),1,0)</x:f>
        <x:v>1</x:v>
      </x:c>
      <x:c r="W8" s="40" t="str">
        <x:f>IF(F8&lt;'Assumptions'!$C$20,"Interest coverage &lt; red threshold",IF(K8&lt;'Assumptions'!$C$24,"Severe coverage &lt; red threshold",IF(E8&gt;'Assumptions'!$C$21,"Debt / EBIT &gt; red threshold",IF(H8&lt;'Assumptions'!$C$23,"FCF margin &lt; red threshold",IF(I8&gt;'Assumptions'!$C$22,"Debt growth &gt; red threshold",IF(F8&lt;'Assumptions'!$B$20,"Interest coverage &lt; amber threshold",IF(E8&gt;'Assumptions'!$B$21,"Debt / EBIT &gt; amber threshold",IF(H8&lt;'Assumptions'!$B$23,"FCF margin &lt; amber threshold",IF(I8&gt;'Assumptions'!$B$22,"Debt growth &gt; amber threshold",IF(K8&lt;'Assumptions'!$B$24,"Severe coverage &lt; amber threshold",IF(J8&lt;'Assumptions'!$B$25,"EBIT margin deterioration","None")))))))))))</x:f>
        <x:v>Debt / EBIT &gt; red threshold</x:v>
      </x:c>
      <x:c r="X8" s="40" t="str">
        <x:f>IF(OR(F8&lt;'Assumptions'!$C$20,K8&lt;'Assumptions'!$C$24,U8&gt;=2,S8&gt;=80),"RED",IF(OR(U8+V8&gt;0,S8&gt;=60),"AMBER","GREEN"))</x:f>
        <x:v>AMBER</x:v>
      </x:c>
      <x:c r="Y8" s="40" t="str">
        <x:f>IF(X8="RED","Escalate",IF(X8="AMBER","Enhanced Review","Routine Monitor"))</x:f>
        <x:v>Enhanced Review</x:v>
      </x:c>
      <x:c r="Z8" s="58" t="n">
        <x:f>RANK.EQ(S8,$S$4:$S$18,0)</x:f>
        <x:v>5</x:v>
      </x:c>
      <x:c r="AA8" s="40" t="str">
        <x:f>IF(U8+V8=0,"No hard threshold triggered",W8)</x:f>
        <x:v>Debt / EBIT &gt; red threshold</x:v>
      </x:c>
    </x:row>
    <x:row r="9">
      <x:c r="A9" s="38" t="str">
        <x:f>'Latest_Snapshot'!A13</x:f>
        <x:v>SSE</x:v>
      </x:c>
      <x:c r="B9" s="38" t="str">
        <x:f>'Latest_Snapshot'!B13</x:f>
        <x:v>SSE</x:v>
      </x:c>
      <x:c r="C9" s="38" t="str">
        <x:f>'Latest_Snapshot'!C13</x:f>
        <x:v>Utilities</x:v>
      </x:c>
      <x:c r="D9" s="38" t="n">
        <x:f>'Latest_Snapshot'!E13</x:f>
        <x:v>2026</x:v>
      </x:c>
      <x:c r="E9" s="52" t="n">
        <x:f>'Latest_Snapshot'!N13</x:f>
        <x:v>5.357861302276337</x:v>
      </x:c>
      <x:c r="F9" s="52" t="n">
        <x:f>'Latest_Snapshot'!L13</x:f>
        <x:v>6.085695876288661</x:v>
      </x:c>
      <x:c r="G9" s="52" t="n">
        <x:f>'Latest_Snapshot'!M13</x:f>
        <x:v>0.9935211544124865</x:v>
      </x:c>
      <x:c r="H9" s="44" t="n">
        <x:f>'Latest_Snapshot'!J13</x:f>
        <x:v>-0.0699</x:v>
      </x:c>
      <x:c r="I9" s="44" t="n">
        <x:f>'Latest_Snapshot'!O13</x:f>
        <x:v>-0.045548849490758214</x:v>
      </x:c>
      <x:c r="J9" s="44" t="n">
        <x:f>'Latest_Snapshot'!P13</x:f>
        <x:v>-0.00821148665242244</x:v>
      </x:c>
      <x:c r="K9" s="52" t="n">
        <x:f>'Stress_Test'!K43</x:f>
        <x:v>3.894845360824742</x:v>
      </x:c>
      <x:c r="L9" s="45" t="n">
        <x:f>IFERROR((RANK.EQ(E9,$E$4:$E$18,1)-1)/(ROWS($E$4:$E$18)-1),0)</x:f>
        <x:v>0.6428571428571429</x:v>
      </x:c>
      <x:c r="M9" s="45" t="n">
        <x:f>IFERROR((RANK.EQ(F9,$F$4:$F$18,0)-1)/(ROWS($F$4:$F$18)-1),0)</x:f>
        <x:v>0.5</x:v>
      </x:c>
      <x:c r="N9" s="45" t="n">
        <x:f>IFERROR((RANK.EQ(G9,$G$4:$G$18,1)-1)/(ROWS($G$4:$G$18)-1),0)</x:f>
        <x:v>0.6428571428571429</x:v>
      </x:c>
      <x:c r="O9" s="45" t="n">
        <x:f>IFERROR((RANK.EQ(H9,$H$4:$H$18,0)-1)/(ROWS($H$4:$H$18)-1),0)</x:f>
        <x:v>0.9285714285714286</x:v>
      </x:c>
      <x:c r="P9" s="45" t="n">
        <x:f>IFERROR((RANK.EQ(I9,$I$4:$I$18,1)-1)/(ROWS($I$4:$I$18)-1),0)</x:f>
        <x:v>0.21428571428571427</x:v>
      </x:c>
      <x:c r="Q9" s="45" t="n">
        <x:f>IFERROR((RANK.EQ(K9,$K$4:$K$18,0)-1)/(ROWS($K$4:$K$18)-1),0)</x:f>
        <x:v>0.5</x:v>
      </x:c>
      <x:c r="R9" s="45" t="n">
        <x:f>IFERROR((RANK.EQ(J9,$J$4:$J$18,0)-1)/(ROWS($J$4:$J$18)-1),0)</x:f>
        <x:v>0.8571428571428571</x:v>
      </x:c>
      <x:c r="S9" s="56" t="n">
        <x:f>100*(L9*'Assumptions'!$B$10+M9*'Assumptions'!$B$11+N9*'Assumptions'!$B$12+O9*'Assumptions'!$B$13+P9*'Assumptions'!$B$14+Q9*'Assumptions'!$B$15+R9*'Assumptions'!$B$16)</x:f>
        <x:v>61.07142857142858</x:v>
      </x:c>
      <x:c r="T9" s="45" t="n">
        <x:f>IF(COUNTIF($C$4:$C$18,C9)&lt;=1,0.5,(COUNTIFS($C$4:$C$18,C9,$S$4:$S$18,"&lt;="&amp;S9)-1)/(COUNTIF($C$4:$C$18,C9)-1))</x:f>
        <x:v>0</x:v>
      </x:c>
      <x:c r="U9" s="58" t="n">
        <x:f>IF(F9&lt;'Assumptions'!$C$20,1,0)+IF(E9&gt;'Assumptions'!$C$21,1,0)+IF(I9&gt;'Assumptions'!$C$22,1,0)+IF(H9&lt;'Assumptions'!$C$23,1,0)+IF(K9&lt;'Assumptions'!$C$24,1,0)+IF(J9&lt;'Assumptions'!$C$25,1,0)</x:f>
        <x:v>0</x:v>
      </x:c>
      <x:c r="V9" s="58" t="n">
        <x:f>IF(AND(F9&gt;='Assumptions'!$C$20,F9&lt;'Assumptions'!$B$20),1,0)+IF(AND(E9&lt;='Assumptions'!$C$21,E9&gt;'Assumptions'!$B$21),1,0)+IF(AND(I9&lt;='Assumptions'!$C$22,I9&gt;'Assumptions'!$B$22),1,0)+IF(AND(H9&gt;='Assumptions'!$C$23,H9&lt;'Assumptions'!$B$23),1,0)+IF(AND(K9&gt;='Assumptions'!$C$24,K9&lt;'Assumptions'!$B$24),1,0)+IF(AND(J9&gt;='Assumptions'!$C$25,J9&lt;'Assumptions'!$B$25),1,0)</x:f>
        <x:v>2</x:v>
      </x:c>
      <x:c r="W9" s="40" t="str">
        <x:f>IF(F9&lt;'Assumptions'!$C$20,"Interest coverage &lt; red threshold",IF(K9&lt;'Assumptions'!$C$24,"Severe coverage &lt; red threshold",IF(E9&gt;'Assumptions'!$C$21,"Debt / EBIT &gt; red threshold",IF(H9&lt;'Assumptions'!$C$23,"FCF margin &lt; red threshold",IF(I9&gt;'Assumptions'!$C$22,"Debt growth &gt; red threshold",IF(F9&lt;'Assumptions'!$B$20,"Interest coverage &lt; amber threshold",IF(E9&gt;'Assumptions'!$B$21,"Debt / EBIT &gt; amber threshold",IF(H9&lt;'Assumptions'!$B$23,"FCF margin &lt; amber threshold",IF(I9&gt;'Assumptions'!$B$22,"Debt growth &gt; amber threshold",IF(K9&lt;'Assumptions'!$B$24,"Severe coverage &lt; amber threshold",IF(J9&lt;'Assumptions'!$B$25,"EBIT margin deterioration","None")))))))))))</x:f>
        <x:v>Debt / EBIT &gt; amber threshold</x:v>
      </x:c>
      <x:c r="X9" s="40" t="str">
        <x:f>IF(OR(F9&lt;'Assumptions'!$C$20,K9&lt;'Assumptions'!$C$24,U9&gt;=2,S9&gt;=80),"RED",IF(OR(U9+V9&gt;0,S9&gt;=60),"AMBER","GREEN"))</x:f>
        <x:v>AMBER</x:v>
      </x:c>
      <x:c r="Y9" s="40" t="str">
        <x:f>IF(X9="RED","Escalate",IF(X9="AMBER","Enhanced Review","Routine Monitor"))</x:f>
        <x:v>Enhanced Review</x:v>
      </x:c>
      <x:c r="Z9" s="58" t="n">
        <x:f>RANK.EQ(S9,$S$4:$S$18,0)</x:f>
        <x:v>6</x:v>
      </x:c>
      <x:c r="AA9" s="40" t="str">
        <x:f>IF(U9+V9=0,"No hard threshold triggered",W9)</x:f>
        <x:v>Debt / EBIT &gt; amber threshold</x:v>
      </x:c>
    </x:row>
    <x:row r="10">
      <x:c r="A10" s="38" t="str">
        <x:f>'Latest_Snapshot'!A15</x:f>
        <x:v>Tesco</x:v>
      </x:c>
      <x:c r="B10" s="38" t="str">
        <x:f>'Latest_Snapshot'!B15</x:f>
        <x:v>TSCO</x:v>
      </x:c>
      <x:c r="C10" s="38" t="str">
        <x:f>'Latest_Snapshot'!C15</x:f>
        <x:v>Consumer &amp; Retail</x:v>
      </x:c>
      <x:c r="D10" s="38" t="n">
        <x:f>'Latest_Snapshot'!E15</x:f>
        <x:v>2025</x:v>
      </x:c>
      <x:c r="E10" s="52" t="n">
        <x:f>'Latest_Snapshot'!N15</x:f>
        <x:v>4.89029676558853</x:v>
      </x:c>
      <x:c r="F10" s="52" t="n">
        <x:f>'Latest_Snapshot'!L15</x:f>
        <x:v>3.8998699609882963</x:v>
      </x:c>
      <x:c r="G10" s="52" t="n">
        <x:f>'Latest_Snapshot'!M15</x:f>
        <x:v>0.20976600492018993</x:v>
      </x:c>
      <x:c r="H10" s="44" t="n">
        <x:f>'Latest_Snapshot'!J15</x:f>
        <x:v>0.024</x:v>
      </x:c>
      <x:c r="I10" s="44" t="n">
        <x:f>'Latest_Snapshot'!O15</x:f>
        <x:v>-0.011791658244053593</x:v>
      </x:c>
      <x:c r="J10" s="44" t="n">
        <x:f>'Latest_Snapshot'!P15</x:f>
        <x:v>0.0015521390124717607</x:v>
      </x:c>
      <x:c r="K10" s="52" t="n">
        <x:f>'Stress_Test'!K45</x:f>
        <x:v>2.49591677503251</x:v>
      </x:c>
      <x:c r="L10" s="45" t="n">
        <x:f>IFERROR((RANK.EQ(E10,$E$4:$E$18,1)-1)/(ROWS($E$4:$E$18)-1),0)</x:f>
        <x:v>0.5714285714285714</x:v>
      </x:c>
      <x:c r="M10" s="45" t="n">
        <x:f>IFERROR((RANK.EQ(F10,$F$4:$F$18,0)-1)/(ROWS($F$4:$F$18)-1),0)</x:f>
        <x:v>0.6428571428571429</x:v>
      </x:c>
      <x:c r="N10" s="45" t="n">
        <x:f>IFERROR((RANK.EQ(G10,$G$4:$G$18,1)-1)/(ROWS($G$4:$G$18)-1),0)</x:f>
        <x:v>0.07142857142857142</x:v>
      </x:c>
      <x:c r="O10" s="45" t="n">
        <x:f>IFERROR((RANK.EQ(H10,$H$4:$H$18,0)-1)/(ROWS($H$4:$H$18)-1),0)</x:f>
        <x:v>0.7857142857142857</x:v>
      </x:c>
      <x:c r="P10" s="45" t="n">
        <x:f>IFERROR((RANK.EQ(I10,$I$4:$I$18,1)-1)/(ROWS($I$4:$I$18)-1),0)</x:f>
        <x:v>0.5</x:v>
      </x:c>
      <x:c r="Q10" s="45" t="n">
        <x:f>IFERROR((RANK.EQ(K10,$K$4:$K$18,0)-1)/(ROWS($K$4:$K$18)-1),0)</x:f>
        <x:v>0.6428571428571429</x:v>
      </x:c>
      <x:c r="R10" s="45" t="n">
        <x:f>IFERROR((RANK.EQ(J10,$J$4:$J$18,0)-1)/(ROWS($J$4:$J$18)-1),0)</x:f>
        <x:v>0.7857142857142857</x:v>
      </x:c>
      <x:c r="S10" s="56" t="n">
        <x:f>100*(L10*'Assumptions'!$B$10+M10*'Assumptions'!$B$11+N10*'Assumptions'!$B$12+O10*'Assumptions'!$B$13+P10*'Assumptions'!$B$14+Q10*'Assumptions'!$B$15+R10*'Assumptions'!$B$16)</x:f>
        <x:v>55.35714285714286</x:v>
      </x:c>
      <x:c r="T10" s="45" t="n">
        <x:f>IF(COUNTIF($C$4:$C$18,C10)&lt;=1,0.5,(COUNTIFS($C$4:$C$18,C10,$S$4:$S$18,"&lt;="&amp;S10)-1)/(COUNTIF($C$4:$C$18,C10)-1))</x:f>
        <x:v>1</x:v>
      </x:c>
      <x:c r="U10" s="58" t="n">
        <x:f>IF(F10&lt;'Assumptions'!$C$20,1,0)+IF(E10&gt;'Assumptions'!$C$21,1,0)+IF(I10&gt;'Assumptions'!$C$22,1,0)+IF(H10&lt;'Assumptions'!$C$23,1,0)+IF(K10&lt;'Assumptions'!$C$24,1,0)+IF(J10&lt;'Assumptions'!$C$25,1,0)</x:f>
        <x:v>0</x:v>
      </x:c>
      <x:c r="V10" s="58" t="n">
        <x:f>IF(AND(F10&gt;='Assumptions'!$C$20,F10&lt;'Assumptions'!$B$20),1,0)+IF(AND(E10&lt;='Assumptions'!$C$21,E10&gt;'Assumptions'!$B$21),1,0)+IF(AND(I10&lt;='Assumptions'!$C$22,I10&gt;'Assumptions'!$B$22),1,0)+IF(AND(H10&gt;='Assumptions'!$C$23,H10&lt;'Assumptions'!$B$23),1,0)+IF(AND(K10&gt;='Assumptions'!$C$24,K10&lt;'Assumptions'!$B$24),1,0)+IF(AND(J10&gt;='Assumptions'!$C$25,J10&lt;'Assumptions'!$B$25),1,0)</x:f>
        <x:v>1</x:v>
      </x:c>
      <x:c r="W10" s="40" t="str">
        <x:f>IF(F10&lt;'Assumptions'!$C$20,"Interest coverage &lt; red threshold",IF(K10&lt;'Assumptions'!$C$24,"Severe coverage &lt; red threshold",IF(E10&gt;'Assumptions'!$C$21,"Debt / EBIT &gt; red threshold",IF(H10&lt;'Assumptions'!$C$23,"FCF margin &lt; red threshold",IF(I10&gt;'Assumptions'!$C$22,"Debt growth &gt; red threshold",IF(F10&lt;'Assumptions'!$B$20,"Interest coverage &lt; amber threshold",IF(E10&gt;'Assumptions'!$B$21,"Debt / EBIT &gt; amber threshold",IF(H10&lt;'Assumptions'!$B$23,"FCF margin &lt; amber threshold",IF(I10&gt;'Assumptions'!$B$22,"Debt growth &gt; amber threshold",IF(K10&lt;'Assumptions'!$B$24,"Severe coverage &lt; amber threshold",IF(J10&lt;'Assumptions'!$B$25,"EBIT margin deterioration","None")))))))))))</x:f>
        <x:v>Debt / EBIT &gt; amber threshold</x:v>
      </x:c>
      <x:c r="X10" s="40" t="str">
        <x:f>IF(OR(F10&lt;'Assumptions'!$C$20,K10&lt;'Assumptions'!$C$24,U10&gt;=2,S10&gt;=80),"RED",IF(OR(U10+V10&gt;0,S10&gt;=60),"AMBER","GREEN"))</x:f>
        <x:v>AMBER</x:v>
      </x:c>
      <x:c r="Y10" s="40" t="str">
        <x:f>IF(X10="RED","Escalate",IF(X10="AMBER","Enhanced Review","Routine Monitor"))</x:f>
        <x:v>Enhanced Review</x:v>
      </x:c>
      <x:c r="Z10" s="58" t="n">
        <x:f>RANK.EQ(S10,$S$4:$S$18,0)</x:f>
        <x:v>7</x:v>
      </x:c>
      <x:c r="AA10" s="40" t="str">
        <x:f>IF(U10+V10=0,"No hard threshold triggered",W10)</x:f>
        <x:v>Debt / EBIT &gt; amber threshold</x:v>
      </x:c>
    </x:row>
    <x:row r="11">
      <x:c r="A11" s="38" t="str">
        <x:f>'Latest_Snapshot'!A14</x:f>
        <x:v>Smith &amp; Nephew</x:v>
      </x:c>
      <x:c r="B11" s="38" t="str">
        <x:f>'Latest_Snapshot'!B14</x:f>
        <x:v>SN</x:v>
      </x:c>
      <x:c r="C11" s="38" t="str">
        <x:f>'Latest_Snapshot'!C14</x:f>
        <x:v>Healthcare</x:v>
      </x:c>
      <x:c r="D11" s="38" t="n">
        <x:f>'Latest_Snapshot'!E14</x:f>
        <x:v>2025</x:v>
      </x:c>
      <x:c r="E11" s="52" t="n">
        <x:f>'Latest_Snapshot'!N14</x:f>
        <x:v>3.7936145952109466</x:v>
      </x:c>
      <x:c r="F11" s="52" t="n">
        <x:f>'Latest_Snapshot'!L14</x:f>
        <x:v>6.264285714285714</x:v>
      </x:c>
      <x:c r="G11" s="52" t="n">
        <x:f>'Latest_Snapshot'!M14</x:f>
        <x:v>0.5397469175859831</x:v>
      </x:c>
      <x:c r="H11" s="44" t="n">
        <x:f>'Latest_Snapshot'!J14</x:f>
        <x:v>0.1382</x:v>
      </x:c>
      <x:c r="I11" s="44" t="n">
        <x:f>'Latest_Snapshot'!O14</x:f>
        <x:v>0.0018066847335140857</x:v>
      </x:c>
      <x:c r="J11" s="44" t="n">
        <x:f>'Latest_Snapshot'!P14</x:f>
        <x:v>-0.010217955347858493</x:v>
      </x:c>
      <x:c r="K11" s="52" t="n">
        <x:f>'Stress_Test'!K44</x:f>
        <x:v>4.009142857142857</x:v>
      </x:c>
      <x:c r="L11" s="45" t="n">
        <x:f>IFERROR((RANK.EQ(E11,$E$4:$E$18,1)-1)/(ROWS($E$4:$E$18)-1),0)</x:f>
        <x:v>0.5</x:v>
      </x:c>
      <x:c r="M11" s="45" t="n">
        <x:f>IFERROR((RANK.EQ(F11,$F$4:$F$18,0)-1)/(ROWS($F$4:$F$18)-1),0)</x:f>
        <x:v>0.42857142857142855</x:v>
      </x:c>
      <x:c r="N11" s="45" t="n">
        <x:f>IFERROR((RANK.EQ(G11,$G$4:$G$18,1)-1)/(ROWS($G$4:$G$18)-1),0)</x:f>
        <x:v>0.2857142857142857</x:v>
      </x:c>
      <x:c r="O11" s="45" t="n">
        <x:f>IFERROR((RANK.EQ(H11,$H$4:$H$18,0)-1)/(ROWS($H$4:$H$18)-1),0)</x:f>
        <x:v>0.42857142857142855</x:v>
      </x:c>
      <x:c r="P11" s="45" t="n">
        <x:f>IFERROR((RANK.EQ(I11,$I$4:$I$18,1)-1)/(ROWS($I$4:$I$18)-1),0)</x:f>
        <x:v>0.6428571428571429</x:v>
      </x:c>
      <x:c r="Q11" s="45" t="n">
        <x:f>IFERROR((RANK.EQ(K11,$K$4:$K$18,0)-1)/(ROWS($K$4:$K$18)-1),0)</x:f>
        <x:v>0.42857142857142855</x:v>
      </x:c>
      <x:c r="R11" s="45" t="n">
        <x:f>IFERROR((RANK.EQ(J11,$J$4:$J$18,0)-1)/(ROWS($J$4:$J$18)-1),0)</x:f>
        <x:v>0.9285714285714286</x:v>
      </x:c>
      <x:c r="S11" s="56" t="n">
        <x:f>100*(L11*'Assumptions'!$B$10+M11*'Assumptions'!$B$11+N11*'Assumptions'!$B$12+O11*'Assumptions'!$B$13+P11*'Assumptions'!$B$14+Q11*'Assumptions'!$B$15+R11*'Assumptions'!$B$16)</x:f>
        <x:v>47.14285714285714</x:v>
      </x:c>
      <x:c r="T11" s="45" t="n">
        <x:f>IF(COUNTIF($C$4:$C$18,C11)&lt;=1,0.5,(COUNTIFS($C$4:$C$18,C11,$S$4:$S$18,"&lt;="&amp;S11)-1)/(COUNTIF($C$4:$C$18,C11)-1))</x:f>
        <x:v>1</x:v>
      </x:c>
      <x:c r="U11" s="58" t="n">
        <x:f>IF(F11&lt;'Assumptions'!$C$20,1,0)+IF(E11&gt;'Assumptions'!$C$21,1,0)+IF(I11&gt;'Assumptions'!$C$22,1,0)+IF(H11&lt;'Assumptions'!$C$23,1,0)+IF(K11&lt;'Assumptions'!$C$24,1,0)+IF(J11&lt;'Assumptions'!$C$25,1,0)</x:f>
        <x:v>0</x:v>
      </x:c>
      <x:c r="V11" s="58" t="n">
        <x:f>IF(AND(F11&gt;='Assumptions'!$C$20,F11&lt;'Assumptions'!$B$20),1,0)+IF(AND(E11&lt;='Assumptions'!$C$21,E11&gt;'Assumptions'!$B$21),1,0)+IF(AND(I11&lt;='Assumptions'!$C$22,I11&gt;'Assumptions'!$B$22),1,0)+IF(AND(H11&gt;='Assumptions'!$C$23,H11&lt;'Assumptions'!$B$23),1,0)+IF(AND(K11&gt;='Assumptions'!$C$24,K11&lt;'Assumptions'!$B$24),1,0)+IF(AND(J11&gt;='Assumptions'!$C$25,J11&lt;'Assumptions'!$B$25),1,0)</x:f>
        <x:v>0</x:v>
      </x:c>
      <x:c r="W11" s="40" t="str">
        <x:f>IF(F11&lt;'Assumptions'!$C$20,"Interest coverage &lt; red threshold",IF(K11&lt;'Assumptions'!$C$24,"Severe coverage &lt; red threshold",IF(E11&gt;'Assumptions'!$C$21,"Debt / EBIT &gt; red threshold",IF(H11&lt;'Assumptions'!$C$23,"FCF margin &lt; red threshold",IF(I11&gt;'Assumptions'!$C$22,"Debt growth &gt; red threshold",IF(F11&lt;'Assumptions'!$B$20,"Interest coverage &lt; amber threshold",IF(E11&gt;'Assumptions'!$B$21,"Debt / EBIT &gt; amber threshold",IF(H11&lt;'Assumptions'!$B$23,"FCF margin &lt; amber threshold",IF(I11&gt;'Assumptions'!$B$22,"Debt growth &gt; amber threshold",IF(K11&lt;'Assumptions'!$B$24,"Severe coverage &lt; amber threshold",IF(J11&lt;'Assumptions'!$B$25,"EBIT margin deterioration","None")))))))))))</x:f>
        <x:v>None</x:v>
      </x:c>
      <x:c r="X11" s="40" t="str">
        <x:f>IF(OR(F11&lt;'Assumptions'!$C$20,K11&lt;'Assumptions'!$C$24,U11&gt;=2,S11&gt;=80),"RED",IF(OR(U11+V11&gt;0,S11&gt;=60),"AMBER","GREEN"))</x:f>
        <x:v>GREEN</x:v>
      </x:c>
      <x:c r="Y11" s="40" t="str">
        <x:f>IF(X11="RED","Escalate",IF(X11="AMBER","Enhanced Review","Routine Monitor"))</x:f>
        <x:v>Routine Monitor</x:v>
      </x:c>
      <x:c r="Z11" s="58" t="n">
        <x:f>RANK.EQ(S11,$S$4:$S$18,0)</x:f>
        <x:v>8</x:v>
      </x:c>
      <x:c r="AA11" s="40" t="str">
        <x:f>IF(U11+V11=0,"No hard threshold triggered",W11)</x:f>
        <x:v>No hard threshold triggered</x:v>
      </x:c>
    </x:row>
    <x:row r="12">
      <x:c r="A12" s="38" t="str">
        <x:f>'Latest_Snapshot'!A7</x:f>
        <x:v>Diageo</x:v>
      </x:c>
      <x:c r="B12" s="38" t="str">
        <x:f>'Latest_Snapshot'!B7</x:f>
        <x:v>DGE</x:v>
      </x:c>
      <x:c r="C12" s="38" t="str">
        <x:f>'Latest_Snapshot'!C7</x:f>
        <x:v>Consumer &amp; Retail</x:v>
      </x:c>
      <x:c r="D12" s="38" t="n">
        <x:f>'Latest_Snapshot'!E7</x:f>
        <x:v>2026</x:v>
      </x:c>
      <x:c r="E12" s="52" t="n">
        <x:f>'Latest_Snapshot'!N7</x:f>
        <x:v>3.613054745707807</x:v>
      </x:c>
      <x:c r="F12" s="52" t="n">
        <x:f>'Latest_Snapshot'!L7</x:f>
        <x:v>5.497773820124666</x:v>
      </x:c>
      <x:c r="G12" s="52" t="n">
        <x:f>'Latest_Snapshot'!M7</x:f>
        <x:v>1.1356208318484957</x:v>
      </x:c>
      <x:c r="H12" s="44" t="n">
        <x:f>'Latest_Snapshot'!J7</x:f>
        <x:v>0.1478</x:v>
      </x:c>
      <x:c r="I12" s="44" t="n">
        <x:f>'Latest_Snapshot'!O7</x:f>
        <x:v>-0.09361667547031816</x:v>
      </x:c>
      <x:c r="J12" s="44" t="n">
        <x:f>'Latest_Snapshot'!P7</x:f>
        <x:v>0.03147517341120876</x:v>
      </x:c>
      <x:c r="K12" s="52" t="n">
        <x:f>'Stress_Test'!K37</x:f>
        <x:v>3.518575244879787</x:v>
      </x:c>
      <x:c r="L12" s="45" t="n">
        <x:f>IFERROR((RANK.EQ(E12,$E$4:$E$18,1)-1)/(ROWS($E$4:$E$18)-1),0)</x:f>
        <x:v>0.42857142857142855</x:v>
      </x:c>
      <x:c r="M12" s="45" t="n">
        <x:f>IFERROR((RANK.EQ(F12,$F$4:$F$18,0)-1)/(ROWS($F$4:$F$18)-1),0)</x:f>
        <x:v>0.5714285714285714</x:v>
      </x:c>
      <x:c r="N12" s="45" t="n">
        <x:f>IFERROR((RANK.EQ(G12,$G$4:$G$18,1)-1)/(ROWS($G$4:$G$18)-1),0)</x:f>
        <x:v>0.7142857142857143</x:v>
      </x:c>
      <x:c r="O12" s="45" t="n">
        <x:f>IFERROR((RANK.EQ(H12,$H$4:$H$18,0)-1)/(ROWS($H$4:$H$18)-1),0)</x:f>
        <x:v>0.35714285714285715</x:v>
      </x:c>
      <x:c r="P12" s="45" t="n">
        <x:f>IFERROR((RANK.EQ(I12,$I$4:$I$18,1)-1)/(ROWS($I$4:$I$18)-1),0)</x:f>
        <x:v>0.14285714285714285</x:v>
      </x:c>
      <x:c r="Q12" s="45" t="n">
        <x:f>IFERROR((RANK.EQ(K12,$K$4:$K$18,0)-1)/(ROWS($K$4:$K$18)-1),0)</x:f>
        <x:v>0.5714285714285714</x:v>
      </x:c>
      <x:c r="R12" s="45" t="n">
        <x:f>IFERROR((RANK.EQ(J12,$J$4:$J$18,0)-1)/(ROWS($J$4:$J$18)-1),0)</x:f>
        <x:v>0.21428571428571427</x:v>
      </x:c>
      <x:c r="S12" s="56" t="n">
        <x:f>100*(L12*'Assumptions'!$B$10+M12*'Assumptions'!$B$11+N12*'Assumptions'!$B$12+O12*'Assumptions'!$B$13+P12*'Assumptions'!$B$14+Q12*'Assumptions'!$B$15+R12*'Assumptions'!$B$16)</x:f>
        <x:v>46.42857142857143</x:v>
      </x:c>
      <x:c r="T12" s="45" t="n">
        <x:f>IF(COUNTIF($C$4:$C$18,C12)&lt;=1,0.5,(COUNTIFS($C$4:$C$18,C12,$S$4:$S$18,"&lt;="&amp;S12)-1)/(COUNTIF($C$4:$C$18,C12)-1))</x:f>
        <x:v>0.5</x:v>
      </x:c>
      <x:c r="U12" s="58" t="n">
        <x:f>IF(F12&lt;'Assumptions'!$C$20,1,0)+IF(E12&gt;'Assumptions'!$C$21,1,0)+IF(I12&gt;'Assumptions'!$C$22,1,0)+IF(H12&lt;'Assumptions'!$C$23,1,0)+IF(K12&lt;'Assumptions'!$C$24,1,0)+IF(J12&lt;'Assumptions'!$C$25,1,0)</x:f>
        <x:v>0</x:v>
      </x:c>
      <x:c r="V12" s="58" t="n">
        <x:f>IF(AND(F12&gt;='Assumptions'!$C$20,F12&lt;'Assumptions'!$B$20),1,0)+IF(AND(E12&lt;='Assumptions'!$C$21,E12&gt;'Assumptions'!$B$21),1,0)+IF(AND(I12&lt;='Assumptions'!$C$22,I12&gt;'Assumptions'!$B$22),1,0)+IF(AND(H12&gt;='Assumptions'!$C$23,H12&lt;'Assumptions'!$B$23),1,0)+IF(AND(K12&gt;='Assumptions'!$C$24,K12&lt;'Assumptions'!$B$24),1,0)+IF(AND(J12&gt;='Assumptions'!$C$25,J12&lt;'Assumptions'!$B$25),1,0)</x:f>
        <x:v>0</x:v>
      </x:c>
      <x:c r="W12" s="40" t="str">
        <x:f>IF(F12&lt;'Assumptions'!$C$20,"Interest coverage &lt; red threshold",IF(K12&lt;'Assumptions'!$C$24,"Severe coverage &lt; red threshold",IF(E12&gt;'Assumptions'!$C$21,"Debt / EBIT &gt; red threshold",IF(H12&lt;'Assumptions'!$C$23,"FCF margin &lt; red threshold",IF(I12&gt;'Assumptions'!$C$22,"Debt growth &gt; red threshold",IF(F12&lt;'Assumptions'!$B$20,"Interest coverage &lt; amber threshold",IF(E12&gt;'Assumptions'!$B$21,"Debt / EBIT &gt; amber threshold",IF(H12&lt;'Assumptions'!$B$23,"FCF margin &lt; amber threshold",IF(I12&gt;'Assumptions'!$B$22,"Debt growth &gt; amber threshold",IF(K12&lt;'Assumptions'!$B$24,"Severe coverage &lt; amber threshold",IF(J12&lt;'Assumptions'!$B$25,"EBIT margin deterioration","None")))))))))))</x:f>
        <x:v>None</x:v>
      </x:c>
      <x:c r="X12" s="40" t="str">
        <x:f>IF(OR(F12&lt;'Assumptions'!$C$20,K12&lt;'Assumptions'!$C$24,U12&gt;=2,S12&gt;=80),"RED",IF(OR(U12+V12&gt;0,S12&gt;=60),"AMBER","GREEN"))</x:f>
        <x:v>GREEN</x:v>
      </x:c>
      <x:c r="Y12" s="40" t="str">
        <x:f>IF(X12="RED","Escalate",IF(X12="AMBER","Enhanced Review","Routine Monitor"))</x:f>
        <x:v>Routine Monitor</x:v>
      </x:c>
      <x:c r="Z12" s="58" t="n">
        <x:f>RANK.EQ(S12,$S$4:$S$18,0)</x:f>
        <x:v>9</x:v>
      </x:c>
      <x:c r="AA12" s="40" t="str">
        <x:f>IF(U12+V12=0,"No hard threshold triggered",W12)</x:f>
        <x:v>No hard threshold triggered</x:v>
      </x:c>
    </x:row>
    <x:row r="13">
      <x:c r="A13" s="38" t="str">
        <x:f>'Latest_Snapshot'!A6</x:f>
        <x:v>Compass Group</x:v>
      </x:c>
      <x:c r="B13" s="38" t="str">
        <x:f>'Latest_Snapshot'!B6</x:f>
        <x:v>CPG</x:v>
      </x:c>
      <x:c r="C13" s="38" t="str">
        <x:f>'Latest_Snapshot'!C6</x:f>
        <x:v>Industrials &amp; Services</x:v>
      </x:c>
      <x:c r="D13" s="38" t="n">
        <x:f>'Latest_Snapshot'!E6</x:f>
        <x:v>2025</x:v>
      </x:c>
      <x:c r="E13" s="52" t="n">
        <x:f>'Latest_Snapshot'!N6</x:f>
        <x:v>2.358974358974359</x:v>
      </x:c>
      <x:c r="F13" s="52" t="n">
        <x:f>'Latest_Snapshot'!L6</x:f>
        <x:v>6.909090909090909</x:v>
      </x:c>
      <x:c r="G13" s="52" t="n">
        <x:f>'Latest_Snapshot'!M6</x:f>
        <x:v>0.15176904710223574</x:v>
      </x:c>
      <x:c r="H13" s="44" t="n">
        <x:f>'Latest_Snapshot'!J6</x:f>
        <x:v>0.0612</x:v>
      </x:c>
      <x:c r="I13" s="44" t="n">
        <x:f>'Latest_Snapshot'!O6</x:f>
        <x:v>0.18287937743190663</x:v>
      </x:c>
      <x:c r="J13" s="44" t="n">
        <x:f>'Latest_Snapshot'!P6</x:f>
        <x:v>0.0028159987048070392</x:v>
      </x:c>
      <x:c r="K13" s="52" t="n">
        <x:f>'Stress_Test'!K36</x:f>
        <x:v>4.421818181818183</x:v>
      </x:c>
      <x:c r="L13" s="45" t="n">
        <x:f>IFERROR((RANK.EQ(E13,$E$4:$E$18,1)-1)/(ROWS($E$4:$E$18)-1),0)</x:f>
        <x:v>0.21428571428571427</x:v>
      </x:c>
      <x:c r="M13" s="45" t="n">
        <x:f>IFERROR((RANK.EQ(F13,$F$4:$F$18,0)-1)/(ROWS($F$4:$F$18)-1),0)</x:f>
        <x:v>0.35714285714285715</x:v>
      </x:c>
      <x:c r="N13" s="45" t="n">
        <x:f>IFERROR((RANK.EQ(G13,$G$4:$G$18,1)-1)/(ROWS($G$4:$G$18)-1),0)</x:f>
        <x:v>0</x:v>
      </x:c>
      <x:c r="O13" s="45" t="n">
        <x:f>IFERROR((RANK.EQ(H13,$H$4:$H$18,0)-1)/(ROWS($H$4:$H$18)-1),0)</x:f>
        <x:v>0.7142857142857143</x:v>
      </x:c>
      <x:c r="P13" s="45" t="n">
        <x:f>IFERROR((RANK.EQ(I13,$I$4:$I$18,1)-1)/(ROWS($I$4:$I$18)-1),0)</x:f>
        <x:v>0.9285714285714286</x:v>
      </x:c>
      <x:c r="Q13" s="45" t="n">
        <x:f>IFERROR((RANK.EQ(K13,$K$4:$K$18,0)-1)/(ROWS($K$4:$K$18)-1),0)</x:f>
        <x:v>0.35714285714285715</x:v>
      </x:c>
      <x:c r="R13" s="45" t="n">
        <x:f>IFERROR((RANK.EQ(J13,$J$4:$J$18,0)-1)/(ROWS($J$4:$J$18)-1),0)</x:f>
        <x:v>0.7142857142857143</x:v>
      </x:c>
      <x:c r="S13" s="56" t="n">
        <x:f>100*(L13*'Assumptions'!$B$10+M13*'Assumptions'!$B$11+N13*'Assumptions'!$B$12+O13*'Assumptions'!$B$13+P13*'Assumptions'!$B$14+Q13*'Assumptions'!$B$15+R13*'Assumptions'!$B$16)</x:f>
        <x:v>39.64285714285714</x:v>
      </x:c>
      <x:c r="T13" s="45" t="n">
        <x:f>IF(COUNTIF($C$4:$C$18,C13)&lt;=1,0.5,(COUNTIFS($C$4:$C$18,C13,$S$4:$S$18,"&lt;="&amp;S13)-1)/(COUNTIF($C$4:$C$18,C13)-1))</x:f>
        <x:v>0.6666666666666666</x:v>
      </x:c>
      <x:c r="U13" s="58" t="n">
        <x:f>IF(F13&lt;'Assumptions'!$C$20,1,0)+IF(E13&gt;'Assumptions'!$C$21,1,0)+IF(I13&gt;'Assumptions'!$C$22,1,0)+IF(H13&lt;'Assumptions'!$C$23,1,0)+IF(K13&lt;'Assumptions'!$C$24,1,0)+IF(J13&lt;'Assumptions'!$C$25,1,0)</x:f>
        <x:v>0</x:v>
      </x:c>
      <x:c r="V13" s="58" t="n">
        <x:f>IF(AND(F13&gt;='Assumptions'!$C$20,F13&lt;'Assumptions'!$B$20),1,0)+IF(AND(E13&lt;='Assumptions'!$C$21,E13&gt;'Assumptions'!$B$21),1,0)+IF(AND(I13&lt;='Assumptions'!$C$22,I13&gt;'Assumptions'!$B$22),1,0)+IF(AND(H13&gt;='Assumptions'!$C$23,H13&lt;'Assumptions'!$B$23),1,0)+IF(AND(K13&gt;='Assumptions'!$C$24,K13&lt;'Assumptions'!$B$24),1,0)+IF(AND(J13&gt;='Assumptions'!$C$25,J13&lt;'Assumptions'!$B$25),1,0)</x:f>
        <x:v>1</x:v>
      </x:c>
      <x:c r="W13" s="40" t="str">
        <x:f>IF(F13&lt;'Assumptions'!$C$20,"Interest coverage &lt; red threshold",IF(K13&lt;'Assumptions'!$C$24,"Severe coverage &lt; red threshold",IF(E13&gt;'Assumptions'!$C$21,"Debt / EBIT &gt; red threshold",IF(H13&lt;'Assumptions'!$C$23,"FCF margin &lt; red threshold",IF(I13&gt;'Assumptions'!$C$22,"Debt growth &gt; red threshold",IF(F13&lt;'Assumptions'!$B$20,"Interest coverage &lt; amber threshold",IF(E13&gt;'Assumptions'!$B$21,"Debt / EBIT &gt; amber threshold",IF(H13&lt;'Assumptions'!$B$23,"FCF margin &lt; amber threshold",IF(I13&gt;'Assumptions'!$B$22,"Debt growth &gt; amber threshold",IF(K13&lt;'Assumptions'!$B$24,"Severe coverage &lt; amber threshold",IF(J13&lt;'Assumptions'!$B$25,"EBIT margin deterioration","None")))))))))))</x:f>
        <x:v>Debt growth &gt; amber threshold</x:v>
      </x:c>
      <x:c r="X13" s="40" t="str">
        <x:f>IF(OR(F13&lt;'Assumptions'!$C$20,K13&lt;'Assumptions'!$C$24,U13&gt;=2,S13&gt;=80),"RED",IF(OR(U13+V13&gt;0,S13&gt;=60),"AMBER","GREEN"))</x:f>
        <x:v>AMBER</x:v>
      </x:c>
      <x:c r="Y13" s="40" t="str">
        <x:f>IF(X13="RED","Escalate",IF(X13="AMBER","Enhanced Review","Routine Monitor"))</x:f>
        <x:v>Enhanced Review</x:v>
      </x:c>
      <x:c r="Z13" s="58" t="n">
        <x:f>RANK.EQ(S13,$S$4:$S$18,0)</x:f>
        <x:v>10</x:v>
      </x:c>
      <x:c r="AA13" s="40" t="str">
        <x:f>IF(U13+V13=0,"No hard threshold triggered",W13)</x:f>
        <x:v>Debt growth &gt; amber threshold</x:v>
      </x:c>
    </x:row>
    <x:row r="14">
      <x:c r="A14" s="38" t="str">
        <x:f>'Latest_Snapshot'!A16</x:f>
        <x:v>Unilever</x:v>
      </x:c>
      <x:c r="B14" s="38" t="str">
        <x:f>'Latest_Snapshot'!B16</x:f>
        <x:v>ULVR</x:v>
      </x:c>
      <x:c r="C14" s="38" t="str">
        <x:f>'Latest_Snapshot'!C16</x:f>
        <x:v>Consumer &amp; Retail</x:v>
      </x:c>
      <x:c r="D14" s="38" t="n">
        <x:f>'Latest_Snapshot'!E16</x:f>
        <x:v>2025</x:v>
      </x:c>
      <x:c r="E14" s="52" t="n">
        <x:f>'Latest_Snapshot'!N16</x:f>
        <x:v>2.7923373160857117</x:v>
      </x:c>
      <x:c r="F14" s="52" t="n">
        <x:f>'Latest_Snapshot'!L16</x:f>
        <x:v>9.223132969034609</x:v>
      </x:c>
      <x:c r="G14" s="52" t="n">
        <x:f>'Latest_Snapshot'!M16</x:f>
        <x:v>0.5599271330416015</x:v>
      </x:c>
      <x:c r="H14" s="44" t="n">
        <x:f>'Latest_Snapshot'!J16</x:f>
        <x:v>0.1373</x:v>
      </x:c>
      <x:c r="I14" s="44" t="n">
        <x:f>'Latest_Snapshot'!O16</x:f>
        <x:v>-0.11777368733035909</x:v>
      </x:c>
      <x:c r="J14" s="44" t="n">
        <x:f>'Latest_Snapshot'!P16</x:f>
        <x:v>0.004672972744473564</x:v>
      </x:c>
      <x:c r="K14" s="52" t="n">
        <x:f>'Stress_Test'!K46</x:f>
        <x:v>5.9028051001821495</x:v>
      </x:c>
      <x:c r="L14" s="45" t="n">
        <x:f>IFERROR((RANK.EQ(E14,$E$4:$E$18,1)-1)/(ROWS($E$4:$E$18)-1),0)</x:f>
        <x:v>0.35714285714285715</x:v>
      </x:c>
      <x:c r="M14" s="45" t="n">
        <x:f>IFERROR((RANK.EQ(F14,$F$4:$F$18,0)-1)/(ROWS($F$4:$F$18)-1),0)</x:f>
        <x:v>0.2857142857142857</x:v>
      </x:c>
      <x:c r="N14" s="45" t="n">
        <x:f>IFERROR((RANK.EQ(G14,$G$4:$G$18,1)-1)/(ROWS($G$4:$G$18)-1),0)</x:f>
        <x:v>0.42857142857142855</x:v>
      </x:c>
      <x:c r="O14" s="45" t="n">
        <x:f>IFERROR((RANK.EQ(H14,$H$4:$H$18,0)-1)/(ROWS($H$4:$H$18)-1),0)</x:f>
        <x:v>0.5</x:v>
      </x:c>
      <x:c r="P14" s="45" t="n">
        <x:f>IFERROR((RANK.EQ(I14,$I$4:$I$18,1)-1)/(ROWS($I$4:$I$18)-1),0)</x:f>
        <x:v>0.07142857142857142</x:v>
      </x:c>
      <x:c r="Q14" s="45" t="n">
        <x:f>IFERROR((RANK.EQ(K14,$K$4:$K$18,0)-1)/(ROWS($K$4:$K$18)-1),0)</x:f>
        <x:v>0.2857142857142857</x:v>
      </x:c>
      <x:c r="R14" s="45" t="n">
        <x:f>IFERROR((RANK.EQ(J14,$J$4:$J$18,0)-1)/(ROWS($J$4:$J$18)-1),0)</x:f>
        <x:v>0.5714285714285714</x:v>
      </x:c>
      <x:c r="S14" s="56" t="n">
        <x:f>100*(L14*'Assumptions'!$B$10+M14*'Assumptions'!$B$11+N14*'Assumptions'!$B$12+O14*'Assumptions'!$B$13+P14*'Assumptions'!$B$14+Q14*'Assumptions'!$B$15+R14*'Assumptions'!$B$16)</x:f>
        <x:v>35</x:v>
      </x:c>
      <x:c r="T14" s="45" t="n">
        <x:f>IF(COUNTIF($C$4:$C$18,C14)&lt;=1,0.5,(COUNTIFS($C$4:$C$18,C14,$S$4:$S$18,"&lt;="&amp;S14)-1)/(COUNTIF($C$4:$C$18,C14)-1))</x:f>
        <x:v>0</x:v>
      </x:c>
      <x:c r="U14" s="58" t="n">
        <x:f>IF(F14&lt;'Assumptions'!$C$20,1,0)+IF(E14&gt;'Assumptions'!$C$21,1,0)+IF(I14&gt;'Assumptions'!$C$22,1,0)+IF(H14&lt;'Assumptions'!$C$23,1,0)+IF(K14&lt;'Assumptions'!$C$24,1,0)+IF(J14&lt;'Assumptions'!$C$25,1,0)</x:f>
        <x:v>0</x:v>
      </x:c>
      <x:c r="V14" s="58" t="n">
        <x:f>IF(AND(F14&gt;='Assumptions'!$C$20,F14&lt;'Assumptions'!$B$20),1,0)+IF(AND(E14&lt;='Assumptions'!$C$21,E14&gt;'Assumptions'!$B$21),1,0)+IF(AND(I14&lt;='Assumptions'!$C$22,I14&gt;'Assumptions'!$B$22),1,0)+IF(AND(H14&gt;='Assumptions'!$C$23,H14&lt;'Assumptions'!$B$23),1,0)+IF(AND(K14&gt;='Assumptions'!$C$24,K14&lt;'Assumptions'!$B$24),1,0)+IF(AND(J14&gt;='Assumptions'!$C$25,J14&lt;'Assumptions'!$B$25),1,0)</x:f>
        <x:v>0</x:v>
      </x:c>
      <x:c r="W14" s="40" t="str">
        <x:f>IF(F14&lt;'Assumptions'!$C$20,"Interest coverage &lt; red threshold",IF(K14&lt;'Assumptions'!$C$24,"Severe coverage &lt; red threshold",IF(E14&gt;'Assumptions'!$C$21,"Debt / EBIT &gt; red threshold",IF(H14&lt;'Assumptions'!$C$23,"FCF margin &lt; red threshold",IF(I14&gt;'Assumptions'!$C$22,"Debt growth &gt; red threshold",IF(F14&lt;'Assumptions'!$B$20,"Interest coverage &lt; amber threshold",IF(E14&gt;'Assumptions'!$B$21,"Debt / EBIT &gt; amber threshold",IF(H14&lt;'Assumptions'!$B$23,"FCF margin &lt; amber threshold",IF(I14&gt;'Assumptions'!$B$22,"Debt growth &gt; amber threshold",IF(K14&lt;'Assumptions'!$B$24,"Severe coverage &lt; amber threshold",IF(J14&lt;'Assumptions'!$B$25,"EBIT margin deterioration","None")))))))))))</x:f>
        <x:v>None</x:v>
      </x:c>
      <x:c r="X14" s="40" t="str">
        <x:f>IF(OR(F14&lt;'Assumptions'!$C$20,K14&lt;'Assumptions'!$C$24,U14&gt;=2,S14&gt;=80),"RED",IF(OR(U14+V14&gt;0,S14&gt;=60),"AMBER","GREEN"))</x:f>
        <x:v>GREEN</x:v>
      </x:c>
      <x:c r="Y14" s="40" t="str">
        <x:f>IF(X14="RED","Escalate",IF(X14="AMBER","Enhanced Review","Routine Monitor"))</x:f>
        <x:v>Routine Monitor</x:v>
      </x:c>
      <x:c r="Z14" s="58" t="n">
        <x:f>RANK.EQ(S14,$S$4:$S$18,0)</x:f>
        <x:v>11</x:v>
      </x:c>
      <x:c r="AA14" s="40" t="str">
        <x:f>IF(U14+V14=0,"No hard threshold triggered",W14)</x:f>
        <x:v>No hard threshold triggered</x:v>
      </x:c>
    </x:row>
    <x:row r="15">
      <x:c r="A15" s="38" t="str">
        <x:f>'Latest_Snapshot'!A10</x:f>
        <x:v>RELX</x:v>
      </x:c>
      <x:c r="B15" s="38" t="str">
        <x:f>'Latest_Snapshot'!B10</x:f>
        <x:v>REL</x:v>
      </x:c>
      <x:c r="C15" s="38" t="str">
        <x:f>'Latest_Snapshot'!C10</x:f>
        <x:v>Industrials &amp; Services</x:v>
      </x:c>
      <x:c r="D15" s="38" t="n">
        <x:f>'Latest_Snapshot'!E10</x:f>
        <x:v>2025</x:v>
      </x:c>
      <x:c r="E15" s="52" t="n">
        <x:f>'Latest_Snapshot'!N10</x:f>
        <x:v>2.4336905559276625</x:v>
      </x:c>
      <x:c r="F15" s="52" t="n">
        <x:f>'Latest_Snapshot'!L10</x:f>
        <x:v>10.551236749116608</x:v>
      </x:c>
      <x:c r="G15" s="52" t="n">
        <x:f>'Latest_Snapshot'!M10</x:f>
        <x:v>0.7577685088633994</x:v>
      </x:c>
      <x:c r="H15" s="44" t="n">
        <x:f>'Latest_Snapshot'!J10</x:f>
        <x:v>0.2935</x:v>
      </x:c>
      <x:c r="I15" s="44" t="n">
        <x:f>'Latest_Snapshot'!O10</x:f>
        <x:v>0.11048288508557458</x:v>
      </x:c>
      <x:c r="J15" s="44" t="n">
        <x:f>'Latest_Snapshot'!P10</x:f>
        <x:v>0.012765200659739628</x:v>
      </x:c>
      <x:c r="K15" s="52" t="n">
        <x:f>'Stress_Test'!K40</x:f>
        <x:v>6.75279151943463</x:v>
      </x:c>
      <x:c r="L15" s="45" t="n">
        <x:f>IFERROR((RANK.EQ(E15,$E$4:$E$18,1)-1)/(ROWS($E$4:$E$18)-1),0)</x:f>
        <x:v>0.2857142857142857</x:v>
      </x:c>
      <x:c r="M15" s="45" t="n">
        <x:f>IFERROR((RANK.EQ(F15,$F$4:$F$18,0)-1)/(ROWS($F$4:$F$18)-1),0)</x:f>
        <x:v>0.07142857142857142</x:v>
      </x:c>
      <x:c r="N15" s="45" t="n">
        <x:f>IFERROR((RANK.EQ(G15,$G$4:$G$18,1)-1)/(ROWS($G$4:$G$18)-1),0)</x:f>
        <x:v>0.5</x:v>
      </x:c>
      <x:c r="O15" s="45" t="n">
        <x:f>IFERROR((RANK.EQ(H15,$H$4:$H$18,0)-1)/(ROWS($H$4:$H$18)-1),0)</x:f>
        <x:v>0</x:v>
      </x:c>
      <x:c r="P15" s="45" t="n">
        <x:f>IFERROR((RANK.EQ(I15,$I$4:$I$18,1)-1)/(ROWS($I$4:$I$18)-1),0)</x:f>
        <x:v>0.8571428571428571</x:v>
      </x:c>
      <x:c r="Q15" s="45" t="n">
        <x:f>IFERROR((RANK.EQ(K15,$K$4:$K$18,0)-1)/(ROWS($K$4:$K$18)-1),0)</x:f>
        <x:v>0.07142857142857142</x:v>
      </x:c>
      <x:c r="R15" s="45" t="n">
        <x:f>IFERROR((RANK.EQ(J15,$J$4:$J$18,0)-1)/(ROWS($J$4:$J$18)-1),0)</x:f>
        <x:v>0.42857142857142855</x:v>
      </x:c>
      <x:c r="S15" s="56" t="n">
        <x:f>100*(L15*'Assumptions'!$B$10+M15*'Assumptions'!$B$11+N15*'Assumptions'!$B$12+O15*'Assumptions'!$B$13+P15*'Assumptions'!$B$14+Q15*'Assumptions'!$B$15+R15*'Assumptions'!$B$16)</x:f>
        <x:v>27.499999999999996</x:v>
      </x:c>
      <x:c r="T15" s="45" t="n">
        <x:f>IF(COUNTIF($C$4:$C$18,C15)&lt;=1,0.5,(COUNTIFS($C$4:$C$18,C15,$S$4:$S$18,"&lt;="&amp;S15)-1)/(COUNTIF($C$4:$C$18,C15)-1))</x:f>
        <x:v>0.3333333333333333</x:v>
      </x:c>
      <x:c r="U15" s="58" t="n">
        <x:f>IF(F15&lt;'Assumptions'!$C$20,1,0)+IF(E15&gt;'Assumptions'!$C$21,1,0)+IF(I15&gt;'Assumptions'!$C$22,1,0)+IF(H15&lt;'Assumptions'!$C$23,1,0)+IF(K15&lt;'Assumptions'!$C$24,1,0)+IF(J15&lt;'Assumptions'!$C$25,1,0)</x:f>
        <x:v>0</x:v>
      </x:c>
      <x:c r="V15" s="58" t="n">
        <x:f>IF(AND(F15&gt;='Assumptions'!$C$20,F15&lt;'Assumptions'!$B$20),1,0)+IF(AND(E15&lt;='Assumptions'!$C$21,E15&gt;'Assumptions'!$B$21),1,0)+IF(AND(I15&lt;='Assumptions'!$C$22,I15&gt;'Assumptions'!$B$22),1,0)+IF(AND(H15&gt;='Assumptions'!$C$23,H15&lt;'Assumptions'!$B$23),1,0)+IF(AND(K15&gt;='Assumptions'!$C$24,K15&lt;'Assumptions'!$B$24),1,0)+IF(AND(J15&gt;='Assumptions'!$C$25,J15&lt;'Assumptions'!$B$25),1,0)</x:f>
        <x:v>1</x:v>
      </x:c>
      <x:c r="W15" s="40" t="str">
        <x:f>IF(F15&lt;'Assumptions'!$C$20,"Interest coverage &lt; red threshold",IF(K15&lt;'Assumptions'!$C$24,"Severe coverage &lt; red threshold",IF(E15&gt;'Assumptions'!$C$21,"Debt / EBIT &gt; red threshold",IF(H15&lt;'Assumptions'!$C$23,"FCF margin &lt; red threshold",IF(I15&gt;'Assumptions'!$C$22,"Debt growth &gt; red threshold",IF(F15&lt;'Assumptions'!$B$20,"Interest coverage &lt; amber threshold",IF(E15&gt;'Assumptions'!$B$21,"Debt / EBIT &gt; amber threshold",IF(H15&lt;'Assumptions'!$B$23,"FCF margin &lt; amber threshold",IF(I15&gt;'Assumptions'!$B$22,"Debt growth &gt; amber threshold",IF(K15&lt;'Assumptions'!$B$24,"Severe coverage &lt; amber threshold",IF(J15&lt;'Assumptions'!$B$25,"EBIT margin deterioration","None")))))))))))</x:f>
        <x:v>Debt growth &gt; amber threshold</x:v>
      </x:c>
      <x:c r="X15" s="40" t="str">
        <x:f>IF(OR(F15&lt;'Assumptions'!$C$20,K15&lt;'Assumptions'!$C$24,U15&gt;=2,S15&gt;=80),"RED",IF(OR(U15+V15&gt;0,S15&gt;=60),"AMBER","GREEN"))</x:f>
        <x:v>AMBER</x:v>
      </x:c>
      <x:c r="Y15" s="40" t="str">
        <x:f>IF(X15="RED","Escalate",IF(X15="AMBER","Enhanced Review","Routine Monitor"))</x:f>
        <x:v>Enhanced Review</x:v>
      </x:c>
      <x:c r="Z15" s="58" t="n">
        <x:f>RANK.EQ(S15,$S$4:$S$18,0)</x:f>
        <x:v>12</x:v>
      </x:c>
      <x:c r="AA15" s="40" t="str">
        <x:f>IF(U15+V15=0,"No hard threshold triggered",W15)</x:f>
        <x:v>Debt growth &gt; amber threshold</x:v>
      </x:c>
    </x:row>
    <x:row r="16">
      <x:c r="A16" s="38" t="str">
        <x:f>'Latest_Snapshot'!A4</x:f>
        <x:v>AstraZeneca</x:v>
      </x:c>
      <x:c r="B16" s="38" t="str">
        <x:f>'Latest_Snapshot'!B4</x:f>
        <x:v>AZN</x:v>
      </x:c>
      <x:c r="C16" s="38" t="str">
        <x:f>'Latest_Snapshot'!C4</x:f>
        <x:v>Healthcare</x:v>
      </x:c>
      <x:c r="D16" s="38" t="n">
        <x:f>'Latest_Snapshot'!E4</x:f>
        <x:v>2025</x:v>
      </x:c>
      <x:c r="E16" s="52" t="n">
        <x:f>'Latest_Snapshot'!N4</x:f>
        <x:v>2.0782955499580185</x:v>
      </x:c>
      <x:c r="F16" s="52" t="n">
        <x:f>'Latest_Snapshot'!L4</x:f>
        <x:v>10.47032967032967</x:v>
      </x:c>
      <x:c r="G16" s="52" t="n">
        <x:f>'Latest_Snapshot'!M4</x:f>
        <x:v>0.5056776587956894</x:v>
      </x:c>
      <x:c r="H16" s="44" t="n">
        <x:f>'Latest_Snapshot'!J4</x:f>
        <x:v>0.2003</x:v>
      </x:c>
      <x:c r="I16" s="44" t="n">
        <x:f>'Latest_Snapshot'!O4</x:f>
        <x:v>-0.024852265265922546</x:v>
      </x:c>
      <x:c r="J16" s="44" t="n">
        <x:f>'Latest_Snapshot'!P4</x:f>
        <x:v>0.004210947197551579</x:v>
      </x:c>
      <x:c r="K16" s="52" t="n">
        <x:f>'Stress_Test'!K34</x:f>
        <x:v>6.701010989010989</x:v>
      </x:c>
      <x:c r="L16" s="45" t="n">
        <x:f>IFERROR((RANK.EQ(E16,$E$4:$E$18,1)-1)/(ROWS($E$4:$E$18)-1),0)</x:f>
        <x:v>0.14285714285714285</x:v>
      </x:c>
      <x:c r="M16" s="45" t="n">
        <x:f>IFERROR((RANK.EQ(F16,$F$4:$F$18,0)-1)/(ROWS($F$4:$F$18)-1),0)</x:f>
        <x:v>0.14285714285714285</x:v>
      </x:c>
      <x:c r="N16" s="45" t="n">
        <x:f>IFERROR((RANK.EQ(G16,$G$4:$G$18,1)-1)/(ROWS($G$4:$G$18)-1),0)</x:f>
        <x:v>0.21428571428571427</x:v>
      </x:c>
      <x:c r="O16" s="45" t="n">
        <x:f>IFERROR((RANK.EQ(H16,$H$4:$H$18,0)-1)/(ROWS($H$4:$H$18)-1),0)</x:f>
        <x:v>0.14285714285714285</x:v>
      </x:c>
      <x:c r="P16" s="45" t="n">
        <x:f>IFERROR((RANK.EQ(I16,$I$4:$I$18,1)-1)/(ROWS($I$4:$I$18)-1),0)</x:f>
        <x:v>0.35714285714285715</x:v>
      </x:c>
      <x:c r="Q16" s="45" t="n">
        <x:f>IFERROR((RANK.EQ(K16,$K$4:$K$18,0)-1)/(ROWS($K$4:$K$18)-1),0)</x:f>
        <x:v>0.14285714285714285</x:v>
      </x:c>
      <x:c r="R16" s="45" t="n">
        <x:f>IFERROR((RANK.EQ(J16,$J$4:$J$18,0)-1)/(ROWS($J$4:$J$18)-1),0)</x:f>
        <x:v>0.6428571428571429</x:v>
      </x:c>
      <x:c r="S16" s="56" t="n">
        <x:f>100*(L16*'Assumptions'!$B$10+M16*'Assumptions'!$B$11+N16*'Assumptions'!$B$12+O16*'Assumptions'!$B$13+P16*'Assumptions'!$B$14+Q16*'Assumptions'!$B$15+R16*'Assumptions'!$B$16)</x:f>
        <x:v>20</x:v>
      </x:c>
      <x:c r="T16" s="45" t="n">
        <x:f>IF(COUNTIF($C$4:$C$18,C16)&lt;=1,0.5,(COUNTIFS($C$4:$C$18,C16,$S$4:$S$18,"&lt;="&amp;S16)-1)/(COUNTIF($C$4:$C$18,C16)-1))</x:f>
        <x:v>0.5</x:v>
      </x:c>
      <x:c r="U16" s="58" t="n">
        <x:f>IF(F16&lt;'Assumptions'!$C$20,1,0)+IF(E16&gt;'Assumptions'!$C$21,1,0)+IF(I16&gt;'Assumptions'!$C$22,1,0)+IF(H16&lt;'Assumptions'!$C$23,1,0)+IF(K16&lt;'Assumptions'!$C$24,1,0)+IF(J16&lt;'Assumptions'!$C$25,1,0)</x:f>
        <x:v>0</x:v>
      </x:c>
      <x:c r="V16" s="58" t="n">
        <x:f>IF(AND(F16&gt;='Assumptions'!$C$20,F16&lt;'Assumptions'!$B$20),1,0)+IF(AND(E16&lt;='Assumptions'!$C$21,E16&gt;'Assumptions'!$B$21),1,0)+IF(AND(I16&lt;='Assumptions'!$C$22,I16&gt;'Assumptions'!$B$22),1,0)+IF(AND(H16&gt;='Assumptions'!$C$23,H16&lt;'Assumptions'!$B$23),1,0)+IF(AND(K16&gt;='Assumptions'!$C$24,K16&lt;'Assumptions'!$B$24),1,0)+IF(AND(J16&gt;='Assumptions'!$C$25,J16&lt;'Assumptions'!$B$25),1,0)</x:f>
        <x:v>0</x:v>
      </x:c>
      <x:c r="W16" s="40" t="str">
        <x:f>IF(F16&lt;'Assumptions'!$C$20,"Interest coverage &lt; red threshold",IF(K16&lt;'Assumptions'!$C$24,"Severe coverage &lt; red threshold",IF(E16&gt;'Assumptions'!$C$21,"Debt / EBIT &gt; red threshold",IF(H16&lt;'Assumptions'!$C$23,"FCF margin &lt; red threshold",IF(I16&gt;'Assumptions'!$C$22,"Debt growth &gt; red threshold",IF(F16&lt;'Assumptions'!$B$20,"Interest coverage &lt; amber threshold",IF(E16&gt;'Assumptions'!$B$21,"Debt / EBIT &gt; amber threshold",IF(H16&lt;'Assumptions'!$B$23,"FCF margin &lt; amber threshold",IF(I16&gt;'Assumptions'!$B$22,"Debt growth &gt; amber threshold",IF(K16&lt;'Assumptions'!$B$24,"Severe coverage &lt; amber threshold",IF(J16&lt;'Assumptions'!$B$25,"EBIT margin deterioration","None")))))))))))</x:f>
        <x:v>None</x:v>
      </x:c>
      <x:c r="X16" s="40" t="str">
        <x:f>IF(OR(F16&lt;'Assumptions'!$C$20,K16&lt;'Assumptions'!$C$24,U16&gt;=2,S16&gt;=80),"RED",IF(OR(U16+V16&gt;0,S16&gt;=60),"AMBER","GREEN"))</x:f>
        <x:v>GREEN</x:v>
      </x:c>
      <x:c r="Y16" s="40" t="str">
        <x:f>IF(X16="RED","Escalate",IF(X16="AMBER","Enhanced Review","Routine Monitor"))</x:f>
        <x:v>Routine Monitor</x:v>
      </x:c>
      <x:c r="Z16" s="58" t="n">
        <x:f>RANK.EQ(S16,$S$4:$S$18,0)</x:f>
        <x:v>13</x:v>
      </x:c>
      <x:c r="AA16" s="40" t="str">
        <x:f>IF(U16+V16=0,"No hard threshold triggered",W16)</x:f>
        <x:v>No hard threshold triggered</x:v>
      </x:c>
    </x:row>
    <x:row r="17">
      <x:c r="A17" s="38" t="str">
        <x:f>'Latest_Snapshot'!A8</x:f>
        <x:v>GSK</x:v>
      </x:c>
      <x:c r="B17" s="38" t="str">
        <x:f>'Latest_Snapshot'!B8</x:f>
        <x:v>GSK</x:v>
      </x:c>
      <x:c r="C17" s="38" t="str">
        <x:f>'Latest_Snapshot'!C8</x:f>
        <x:v>Healthcare</x:v>
      </x:c>
      <x:c r="D17" s="38" t="n">
        <x:f>'Latest_Snapshot'!E8</x:f>
        <x:v>2025</x:v>
      </x:c>
      <x:c r="E17" s="52" t="n">
        <x:f>'Latest_Snapshot'!N8</x:f>
        <x:v>1.8828199428389965</x:v>
      </x:c>
      <x:c r="F17" s="52" t="n">
        <x:f>'Latest_Snapshot'!L8</x:f>
        <x:v>14.357142857142858</x:v>
      </x:c>
      <x:c r="G17" s="52" t="n">
        <x:f>'Latest_Snapshot'!M8</x:f>
        <x:v>0.5444944439342456</x:v>
      </x:c>
      <x:c r="H17" s="44" t="n">
        <x:f>'Latest_Snapshot'!J8</x:f>
        <x:v>0.1957</x:v>
      </x:c>
      <x:c r="I17" s="44" t="n">
        <x:f>'Latest_Snapshot'!O8</x:f>
        <x:v>0.047156481808548145</x:v>
      </x:c>
      <x:c r="J17" s="44" t="n">
        <x:f>'Latest_Snapshot'!P8</x:f>
        <x:v>0.09190637792355469</x:v>
      </x:c>
      <x:c r="K17" s="52" t="n">
        <x:f>'Stress_Test'!K38</x:f>
        <x:v>9.188571428571429</x:v>
      </x:c>
      <x:c r="L17" s="45" t="n">
        <x:f>IFERROR((RANK.EQ(E17,$E$4:$E$18,1)-1)/(ROWS($E$4:$E$18)-1),0)</x:f>
        <x:v>0.07142857142857142</x:v>
      </x:c>
      <x:c r="M17" s="45" t="n">
        <x:f>IFERROR((RANK.EQ(F17,$F$4:$F$18,0)-1)/(ROWS($F$4:$F$18)-1),0)</x:f>
        <x:v>0</x:v>
      </x:c>
      <x:c r="N17" s="45" t="n">
        <x:f>IFERROR((RANK.EQ(G17,$G$4:$G$18,1)-1)/(ROWS($G$4:$G$18)-1),0)</x:f>
        <x:v>0.35714285714285715</x:v>
      </x:c>
      <x:c r="O17" s="45" t="n">
        <x:f>IFERROR((RANK.EQ(H17,$H$4:$H$18,0)-1)/(ROWS($H$4:$H$18)-1),0)</x:f>
        <x:v>0.21428571428571427</x:v>
      </x:c>
      <x:c r="P17" s="45" t="n">
        <x:f>IFERROR((RANK.EQ(I17,$I$4:$I$18,1)-1)/(ROWS($I$4:$I$18)-1),0)</x:f>
        <x:v>0.7142857142857143</x:v>
      </x:c>
      <x:c r="Q17" s="45" t="n">
        <x:f>IFERROR((RANK.EQ(K17,$K$4:$K$18,0)-1)/(ROWS($K$4:$K$18)-1),0)</x:f>
        <x:v>0</x:v>
      </x:c>
      <x:c r="R17" s="45" t="n">
        <x:f>IFERROR((RANK.EQ(J17,$J$4:$J$18,0)-1)/(ROWS($J$4:$J$18)-1),0)</x:f>
        <x:v>0.07142857142857142</x:v>
      </x:c>
      <x:c r="S17" s="56" t="n">
        <x:f>100*(L17*'Assumptions'!$B$10+M17*'Assumptions'!$B$11+N17*'Assumptions'!$B$12+O17*'Assumptions'!$B$13+P17*'Assumptions'!$B$14+Q17*'Assumptions'!$B$15+R17*'Assumptions'!$B$16)</x:f>
        <x:v>17.857142857142854</x:v>
      </x:c>
      <x:c r="T17" s="45" t="n">
        <x:f>IF(COUNTIF($C$4:$C$18,C17)&lt;=1,0.5,(COUNTIFS($C$4:$C$18,C17,$S$4:$S$18,"&lt;="&amp;S17)-1)/(COUNTIF($C$4:$C$18,C17)-1))</x:f>
        <x:v>0</x:v>
      </x:c>
      <x:c r="U17" s="58" t="n">
        <x:f>IF(F17&lt;'Assumptions'!$C$20,1,0)+IF(E17&gt;'Assumptions'!$C$21,1,0)+IF(I17&gt;'Assumptions'!$C$22,1,0)+IF(H17&lt;'Assumptions'!$C$23,1,0)+IF(K17&lt;'Assumptions'!$C$24,1,0)+IF(J17&lt;'Assumptions'!$C$25,1,0)</x:f>
        <x:v>0</x:v>
      </x:c>
      <x:c r="V17" s="58" t="n">
        <x:f>IF(AND(F17&gt;='Assumptions'!$C$20,F17&lt;'Assumptions'!$B$20),1,0)+IF(AND(E17&lt;='Assumptions'!$C$21,E17&gt;'Assumptions'!$B$21),1,0)+IF(AND(I17&lt;='Assumptions'!$C$22,I17&gt;'Assumptions'!$B$22),1,0)+IF(AND(H17&gt;='Assumptions'!$C$23,H17&lt;'Assumptions'!$B$23),1,0)+IF(AND(K17&gt;='Assumptions'!$C$24,K17&lt;'Assumptions'!$B$24),1,0)+IF(AND(J17&gt;='Assumptions'!$C$25,J17&lt;'Assumptions'!$B$25),1,0)</x:f>
        <x:v>0</x:v>
      </x:c>
      <x:c r="W17" s="40" t="str">
        <x:f>IF(F17&lt;'Assumptions'!$C$20,"Interest coverage &lt; red threshold",IF(K17&lt;'Assumptions'!$C$24,"Severe coverage &lt; red threshold",IF(E17&gt;'Assumptions'!$C$21,"Debt / EBIT &gt; red threshold",IF(H17&lt;'Assumptions'!$C$23,"FCF margin &lt; red threshold",IF(I17&gt;'Assumptions'!$C$22,"Debt growth &gt; red threshold",IF(F17&lt;'Assumptions'!$B$20,"Interest coverage &lt; amber threshold",IF(E17&gt;'Assumptions'!$B$21,"Debt / EBIT &gt; amber threshold",IF(H17&lt;'Assumptions'!$B$23,"FCF margin &lt; amber threshold",IF(I17&gt;'Assumptions'!$B$22,"Debt growth &gt; amber threshold",IF(K17&lt;'Assumptions'!$B$24,"Severe coverage &lt; amber threshold",IF(J17&lt;'Assumptions'!$B$25,"EBIT margin deterioration","None")))))))))))</x:f>
        <x:v>None</x:v>
      </x:c>
      <x:c r="X17" s="40" t="str">
        <x:f>IF(OR(F17&lt;'Assumptions'!$C$20,K17&lt;'Assumptions'!$C$24,U17&gt;=2,S17&gt;=80),"RED",IF(OR(U17+V17&gt;0,S17&gt;=60),"AMBER","GREEN"))</x:f>
        <x:v>GREEN</x:v>
      </x:c>
      <x:c r="Y17" s="40" t="str">
        <x:f>IF(X17="RED","Escalate",IF(X17="AMBER","Enhanced Review","Routine Monitor"))</x:f>
        <x:v>Routine Monitor</x:v>
      </x:c>
      <x:c r="Z17" s="58" t="n">
        <x:f>RANK.EQ(S17,$S$4:$S$18,0)</x:f>
        <x:v>14</x:v>
      </x:c>
      <x:c r="AA17" s="40" t="str">
        <x:f>IF(U17+V17=0,"No hard threshold triggered",W17)</x:f>
        <x:v>No hard threshold triggered</x:v>
      </x:c>
    </x:row>
    <x:row r="18">
      <x:c r="A18" s="38" t="str">
        <x:f>'Latest_Snapshot'!A12</x:f>
        <x:v>Rolls-Royce</x:v>
      </x:c>
      <x:c r="B18" s="38" t="str">
        <x:f>'Latest_Snapshot'!B12</x:f>
        <x:v>RR</x:v>
      </x:c>
      <x:c r="C18" s="38" t="str">
        <x:f>'Latest_Snapshot'!C12</x:f>
        <x:v>Industrials &amp; Services</x:v>
      </x:c>
      <x:c r="D18" s="38" t="n">
        <x:f>'Latest_Snapshot'!E12</x:f>
        <x:v>2025</x:v>
      </x:c>
      <x:c r="E18" s="52" t="n">
        <x:f>'Latest_Snapshot'!N12</x:f>
        <x:v>1.162041181736795</x:v>
      </x:c>
      <x:c r="F18" s="52" t="n">
        <x:f>'Latest_Snapshot'!L12</x:f>
        <x:v>9.32776617954071</x:v>
      </x:c>
      <x:c r="G18" s="52" t="n">
        <x:f>'Latest_Snapshot'!M12</x:f>
        <x:v>0.24482482199273825</x:v>
      </x:c>
      <x:c r="H18" s="44" t="n">
        <x:f>'Latest_Snapshot'!J12</x:f>
        <x:v>0.186</x:v>
      </x:c>
      <x:c r="I18" s="44" t="n">
        <x:f>'Latest_Snapshot'!O12</x:f>
        <x:v>-0.2997032640949555</x:v>
      </x:c>
      <x:c r="J18" s="44" t="n">
        <x:f>'Latest_Snapshot'!P12</x:f>
        <x:v>0.05700171995900191</x:v>
      </x:c>
      <x:c r="K18" s="52" t="n">
        <x:f>'Stress_Test'!K42</x:f>
        <x:v>5.969770354906054</x:v>
      </x:c>
      <x:c r="L18" s="45" t="n">
        <x:f>IFERROR((RANK.EQ(E18,$E$4:$E$18,1)-1)/(ROWS($E$4:$E$18)-1),0)</x:f>
        <x:v>0</x:v>
      </x:c>
      <x:c r="M18" s="45" t="n">
        <x:f>IFERROR((RANK.EQ(F18,$F$4:$F$18,0)-1)/(ROWS($F$4:$F$18)-1),0)</x:f>
        <x:v>0.21428571428571427</x:v>
      </x:c>
      <x:c r="N18" s="45" t="n">
        <x:f>IFERROR((RANK.EQ(G18,$G$4:$G$18,1)-1)/(ROWS($G$4:$G$18)-1),0)</x:f>
        <x:v>0.14285714285714285</x:v>
      </x:c>
      <x:c r="O18" s="45" t="n">
        <x:f>IFERROR((RANK.EQ(H18,$H$4:$H$18,0)-1)/(ROWS($H$4:$H$18)-1),0)</x:f>
        <x:v>0.2857142857142857</x:v>
      </x:c>
      <x:c r="P18" s="45" t="n">
        <x:f>IFERROR((RANK.EQ(I18,$I$4:$I$18,1)-1)/(ROWS($I$4:$I$18)-1),0)</x:f>
        <x:v>0</x:v>
      </x:c>
      <x:c r="Q18" s="45" t="n">
        <x:f>IFERROR((RANK.EQ(K18,$K$4:$K$18,0)-1)/(ROWS($K$4:$K$18)-1),0)</x:f>
        <x:v>0.21428571428571427</x:v>
      </x:c>
      <x:c r="R18" s="45" t="n">
        <x:f>IFERROR((RANK.EQ(J18,$J$4:$J$18,0)-1)/(ROWS($J$4:$J$18)-1),0)</x:f>
        <x:v>0.14285714285714285</x:v>
      </x:c>
      <x:c r="S18" s="56" t="n">
        <x:f>100*(L18*'Assumptions'!$B$10+M18*'Assumptions'!$B$11+N18*'Assumptions'!$B$12+O18*'Assumptions'!$B$13+P18*'Assumptions'!$B$14+Q18*'Assumptions'!$B$15+R18*'Assumptions'!$B$16)</x:f>
        <x:v>13.571428571428571</x:v>
      </x:c>
      <x:c r="T18" s="45" t="n">
        <x:f>IF(COUNTIF($C$4:$C$18,C18)&lt;=1,0.5,(COUNTIFS($C$4:$C$18,C18,$S$4:$S$18,"&lt;="&amp;S18)-1)/(COUNTIF($C$4:$C$18,C18)-1))</x:f>
        <x:v>0</x:v>
      </x:c>
      <x:c r="U18" s="58" t="n">
        <x:f>IF(F18&lt;'Assumptions'!$C$20,1,0)+IF(E18&gt;'Assumptions'!$C$21,1,0)+IF(I18&gt;'Assumptions'!$C$22,1,0)+IF(H18&lt;'Assumptions'!$C$23,1,0)+IF(K18&lt;'Assumptions'!$C$24,1,0)+IF(J18&lt;'Assumptions'!$C$25,1,0)</x:f>
        <x:v>0</x:v>
      </x:c>
      <x:c r="V18" s="58" t="n">
        <x:f>IF(AND(F18&gt;='Assumptions'!$C$20,F18&lt;'Assumptions'!$B$20),1,0)+IF(AND(E18&lt;='Assumptions'!$C$21,E18&gt;'Assumptions'!$B$21),1,0)+IF(AND(I18&lt;='Assumptions'!$C$22,I18&gt;'Assumptions'!$B$22),1,0)+IF(AND(H18&gt;='Assumptions'!$C$23,H18&lt;'Assumptions'!$B$23),1,0)+IF(AND(K18&gt;='Assumptions'!$C$24,K18&lt;'Assumptions'!$B$24),1,0)+IF(AND(J18&gt;='Assumptions'!$C$25,J18&lt;'Assumptions'!$B$25),1,0)</x:f>
        <x:v>0</x:v>
      </x:c>
      <x:c r="W18" s="40" t="str">
        <x:f>IF(F18&lt;'Assumptions'!$C$20,"Interest coverage &lt; red threshold",IF(K18&lt;'Assumptions'!$C$24,"Severe coverage &lt; red threshold",IF(E18&gt;'Assumptions'!$C$21,"Debt / EBIT &gt; red threshold",IF(H18&lt;'Assumptions'!$C$23,"FCF margin &lt; red threshold",IF(I18&gt;'Assumptions'!$C$22,"Debt growth &gt; red threshold",IF(F18&lt;'Assumptions'!$B$20,"Interest coverage &lt; amber threshold",IF(E18&gt;'Assumptions'!$B$21,"Debt / EBIT &gt; amber threshold",IF(H18&lt;'Assumptions'!$B$23,"FCF margin &lt; amber threshold",IF(I18&gt;'Assumptions'!$B$22,"Debt growth &gt; amber threshold",IF(K18&lt;'Assumptions'!$B$24,"Severe coverage &lt; amber threshold",IF(J18&lt;'Assumptions'!$B$25,"EBIT margin deterioration","None")))))))))))</x:f>
        <x:v>None</x:v>
      </x:c>
      <x:c r="X18" s="40" t="str">
        <x:f>IF(OR(F18&lt;'Assumptions'!$C$20,K18&lt;'Assumptions'!$C$24,U18&gt;=2,S18&gt;=80),"RED",IF(OR(U18+V18&gt;0,S18&gt;=60),"AMBER","GREEN"))</x:f>
        <x:v>GREEN</x:v>
      </x:c>
      <x:c r="Y18" s="40" t="str">
        <x:f>IF(X18="RED","Escalate",IF(X18="AMBER","Enhanced Review","Routine Monitor"))</x:f>
        <x:v>Routine Monitor</x:v>
      </x:c>
      <x:c r="Z18" s="58" t="n">
        <x:f>RANK.EQ(S18,$S$4:$S$18,0)</x:f>
        <x:v>15</x:v>
      </x:c>
      <x:c r="AA18" s="40" t="str">
        <x:f>IF(U18+V18=0,"No hard threshold triggered",W18)</x:f>
        <x:v>No hard threshold triggered</x:v>
      </x:c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  <x:c r="AA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  <x:c r="AA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  <x:c r="AA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  <x:c r="AA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  <x:c r="AA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  <x:c r="AA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  <x:c r="AA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  <x:c r="AA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  <x:c r="AA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  <x:c r="AA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  <x:c r="AA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  <x:c r="AA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  <x:c r="AA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  <x:c r="AA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  <x:c r="AA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  <x:c r="AA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  <x:c r="AA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  <x:c r="AA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  <x:c r="AA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  <x:c r="AA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  <x:c r="AA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  <x:c r="AA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  <x:c r="AA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  <x:c r="AA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  <x:c r="AA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  <x:c r="AA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  <x:c r="AA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  <x:c r="AA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  <x:c r="AA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  <x:c r="AA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  <x:c r="AA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  <x:c r="AA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  <x:c r="AA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  <x:c r="AA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  <x:c r="AA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  <x:c r="AA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  <x:c r="AA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  <x:c r="AA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  <x:c r="AA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  <x:c r="AA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  <x:c r="AA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  <x:c r="AA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  <x:c r="AA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  <x:c r="AA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  <x:c r="AA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  <x:c r="AA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  <x:c r="AA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  <x:c r="AA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  <x:c r="AA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  <x:c r="AA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  <x:c r="AA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  <x:c r="AA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  <x:c r="AA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  <x:c r="AA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  <x:c r="AA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  <x:c r="AA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  <x:c r="AA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  <x:c r="AA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  <x:c r="AA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  <x:c r="AA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  <x:c r="AA80" s="73"/>
    </x:row>
  </x:sheetData>
  <x:mergeCells>
    <x:mergeCell ref="A1:AA1"/>
  </x:mergeCells>
  <x:conditionalFormatting sqref="S4:S18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X4:X18">
    <x:cfRule type="expression" dxfId="0" priority="2">
      <x:formula>X4="RED"</x:formula>
    </x:cfRule>
    <x:cfRule type="expression" dxfId="1" priority="3">
      <x:formula>X4="AMBER"</x:formula>
    </x:cfRule>
    <x:cfRule type="expression" dxfId="2" priority="4">
      <x:formula>X4="GREEN"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9" hidden="0" customWidth="1"/>
    <x:col min="5" max="5" width="9" hidden="0" customWidth="1"/>
    <x:col min="6" max="6" width="9" hidden="0" customWidth="1"/>
    <x:col min="7" max="7" width="24" hidden="0" customWidth="1"/>
  </x:cols>
  <x:sheetData>
    <x:row r="1">
      <x:c r="A1" s="82" t="str">
        <x:v>Sector View — Context for Cross-Sector Comparisons</x:v>
      </x:c>
      <x:c r="B1" s="72"/>
      <x:c r="C1" s="72"/>
      <x:c r="D1" s="72"/>
      <x:c r="E1" s="72"/>
      <x:c r="F1" s="72"/>
      <x:c r="G1" s="72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  <x:c r="AA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  <x:c r="AA2" s="73"/>
    </x:row>
    <x:row r="3">
      <x:c r="A3" s="74" t="str">
        <x:v>Sector</x:v>
      </x:c>
      <x:c r="B3" s="74" t="str">
        <x:v>Companies</x:v>
      </x:c>
      <x:c r="C3" s="74" t="str">
        <x:v>Average Risk Score</x:v>
      </x:c>
      <x:c r="D3" s="74" t="str">
        <x:v>RED</x:v>
      </x:c>
      <x:c r="E3" s="74" t="str">
        <x:v>AMBER</x:v>
      </x:c>
      <x:c r="F3" s="74" t="str">
        <x:v>GREEN</x:v>
      </x:c>
      <x:c r="G3" s="74" t="str">
        <x:v>Highest-Risk Name</x:v>
      </x:c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  <x:c r="AA3" s="73"/>
    </x:row>
    <x:row r="4">
      <x:c r="A4" s="73" t="str">
        <x:v>Utilities</x:v>
      </x:c>
      <x:c r="B4" s="86" t="n">
        <x:f>COUNTIF('Watchlist'!$C$4:$C$18,A4)</x:f>
        <x:v>3</x:v>
      </x:c>
      <x:c r="C4" s="87" t="n">
        <x:f>IFERROR(SUMIF('Watchlist'!$C$4:$C$18,A4,'Watchlist'!$S$4:$S$18)/B4,0)</x:f>
        <x:v>75.23809523809524</x:v>
      </x:c>
      <x:c r="D4" s="86" t="n">
        <x:f>COUNTIFS('Watchlist'!$C$4:$C$18,A4,'Watchlist'!$X$4:$X$18,"RED")</x:f>
        <x:v>2</x:v>
      </x:c>
      <x:c r="E4" s="86" t="n">
        <x:f>COUNTIFS('Watchlist'!$C$4:$C$18,A4,'Watchlist'!$X$4:$X$18,"AMBER")</x:f>
        <x:v>1</x:v>
      </x:c>
      <x:c r="F4" s="86" t="n">
        <x:f>COUNTIFS('Watchlist'!$C$4:$C$18,A4,'Watchlist'!$X$4:$X$18,"GREEN")</x:f>
        <x:v>0</x:v>
      </x:c>
      <x:c r="G4" s="73" t="str">
        <x:v>United Utilities</x:v>
      </x:c>
      <x:c r="H4" s="73"/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  <x:c r="AA4" s="73"/>
    </x:row>
    <x:row r="5">
      <x:c r="A5" s="73" t="str">
        <x:v>Consumer &amp; Retail</x:v>
      </x:c>
      <x:c r="B5" s="86" t="n">
        <x:f>COUNTIF('Watchlist'!$C$4:$C$18,A5)</x:f>
        <x:v>3</x:v>
      </x:c>
      <x:c r="C5" s="87" t="n">
        <x:f>IFERROR(SUMIF('Watchlist'!$C$4:$C$18,A5,'Watchlist'!$S$4:$S$18)/B5,0)</x:f>
        <x:v>45.595238095238095</x:v>
      </x:c>
      <x:c r="D5" s="86" t="n">
        <x:f>COUNTIFS('Watchlist'!$C$4:$C$18,A5,'Watchlist'!$X$4:$X$18,"RED")</x:f>
        <x:v>0</x:v>
      </x:c>
      <x:c r="E5" s="86" t="n">
        <x:f>COUNTIFS('Watchlist'!$C$4:$C$18,A5,'Watchlist'!$X$4:$X$18,"AMBER")</x:f>
        <x:v>1</x:v>
      </x:c>
      <x:c r="F5" s="86" t="n">
        <x:f>COUNTIFS('Watchlist'!$C$4:$C$18,A5,'Watchlist'!$X$4:$X$18,"GREEN")</x:f>
        <x:v>2</x:v>
      </x:c>
      <x:c r="G5" s="73" t="str">
        <x:v>Tesco</x:v>
      </x:c>
      <x:c r="H5" s="73"/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  <x:c r="AA5" s="73"/>
    </x:row>
    <x:row r="6">
      <x:c r="A6" s="73" t="str">
        <x:v>Healthcare</x:v>
      </x:c>
      <x:c r="B6" s="86" t="n">
        <x:f>COUNTIF('Watchlist'!$C$4:$C$18,A6)</x:f>
        <x:v>3</x:v>
      </x:c>
      <x:c r="C6" s="87" t="n">
        <x:f>IFERROR(SUMIF('Watchlist'!$C$4:$C$18,A6,'Watchlist'!$S$4:$S$18)/B6,0)</x:f>
        <x:v>28.333333333333332</x:v>
      </x:c>
      <x:c r="D6" s="86" t="n">
        <x:f>COUNTIFS('Watchlist'!$C$4:$C$18,A6,'Watchlist'!$X$4:$X$18,"RED")</x:f>
        <x:v>0</x:v>
      </x:c>
      <x:c r="E6" s="86" t="n">
        <x:f>COUNTIFS('Watchlist'!$C$4:$C$18,A6,'Watchlist'!$X$4:$X$18,"AMBER")</x:f>
        <x:v>0</x:v>
      </x:c>
      <x:c r="F6" s="86" t="n">
        <x:f>COUNTIFS('Watchlist'!$C$4:$C$18,A6,'Watchlist'!$X$4:$X$18,"GREEN")</x:f>
        <x:v>3</x:v>
      </x:c>
      <x:c r="G6" s="73" t="str">
        <x:v>Smith &amp; Nephew</x:v>
      </x:c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  <x:c r="AA6" s="73"/>
    </x:row>
    <x:row r="7">
      <x:c r="A7" s="73" t="str">
        <x:v>Industrials &amp; Services</x:v>
      </x:c>
      <x:c r="B7" s="86" t="n">
        <x:f>COUNTIF('Watchlist'!$C$4:$C$18,A7)</x:f>
        <x:v>4</x:v>
      </x:c>
      <x:c r="C7" s="87" t="n">
        <x:f>IFERROR(SUMIF('Watchlist'!$C$4:$C$18,A7,'Watchlist'!$S$4:$S$18)/B7,0)</x:f>
        <x:v>37.410714285714285</x:v>
      </x:c>
      <x:c r="D7" s="86" t="n">
        <x:f>COUNTIFS('Watchlist'!$C$4:$C$18,A7,'Watchlist'!$X$4:$X$18,"RED")</x:f>
        <x:v>0</x:v>
      </x:c>
      <x:c r="E7" s="86" t="n">
        <x:f>COUNTIFS('Watchlist'!$C$4:$C$18,A7,'Watchlist'!$X$4:$X$18,"AMBER")</x:f>
        <x:v>3</x:v>
      </x:c>
      <x:c r="F7" s="86" t="n">
        <x:f>COUNTIFS('Watchlist'!$C$4:$C$18,A7,'Watchlist'!$X$4:$X$18,"GREEN")</x:f>
        <x:v>1</x:v>
      </x:c>
      <x:c r="G7" s="73" t="str">
        <x:v>Rentokil Initial</x:v>
      </x:c>
      <x:c r="H7" s="73"/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  <x:c r="AA7" s="73"/>
    </x:row>
    <x:row r="8">
      <x:c r="A8" s="73" t="str">
        <x:v>Telecom</x:v>
      </x:c>
      <x:c r="B8" s="86" t="n">
        <x:f>COUNTIF('Watchlist'!$C$4:$C$18,A8)</x:f>
        <x:v>2</x:v>
      </x:c>
      <x:c r="C8" s="87" t="n">
        <x:f>IFERROR(SUMIF('Watchlist'!$C$4:$C$18,A8,'Watchlist'!$S$4:$S$18)/B8,0)</x:f>
        <x:v>76.42857142857142</x:v>
      </x:c>
      <x:c r="D8" s="86" t="n">
        <x:f>COUNTIFS('Watchlist'!$C$4:$C$18,A8,'Watchlist'!$X$4:$X$18,"RED")</x:f>
        <x:v>1</x:v>
      </x:c>
      <x:c r="E8" s="86" t="n">
        <x:f>COUNTIFS('Watchlist'!$C$4:$C$18,A8,'Watchlist'!$X$4:$X$18,"AMBER")</x:f>
        <x:v>1</x:v>
      </x:c>
      <x:c r="F8" s="86" t="n">
        <x:f>COUNTIFS('Watchlist'!$C$4:$C$18,A8,'Watchlist'!$X$4:$X$18,"GREEN")</x:f>
        <x:v>0</x:v>
      </x:c>
      <x:c r="G8" s="73" t="str">
        <x:v>Vodafone</x:v>
      </x:c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  <x:c r="AA8" s="73"/>
    </x:row>
    <x:row r="9">
      <x:c r="A9" s="73"/>
      <x:c r="B9" s="73"/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  <x:c r="AA9" s="73"/>
    </x:row>
    <x:row r="10">
      <x:c r="A10" s="75" t="str">
        <x:v>Why this matters: utilities and telecoms structurally carry more debt than many healthcare or consumer names. The overall score is therefore used as a screening signal, while sector context prevents the tool from being interpreted as a universal credit rating.</x:v>
      </x:c>
      <x:c r="B10" s="75"/>
      <x:c r="C10" s="75"/>
      <x:c r="D10" s="75"/>
      <x:c r="E10" s="75"/>
      <x:c r="F10" s="75"/>
      <x:c r="G10" s="75"/>
      <x:c r="H10" s="73"/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  <x:c r="AA10" s="73"/>
    </x:row>
    <x:row r="11">
      <x:c r="A11" s="75"/>
      <x:c r="B11" s="75"/>
      <x:c r="C11" s="75"/>
      <x:c r="D11" s="75"/>
      <x:c r="E11" s="75"/>
      <x:c r="F11" s="75"/>
      <x:c r="G11" s="75"/>
      <x:c r="H11" s="73"/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  <x:c r="AA11" s="73"/>
    </x:row>
    <x:row r="12">
      <x:c r="A12" s="75"/>
      <x:c r="B12" s="75"/>
      <x:c r="C12" s="75"/>
      <x:c r="D12" s="75"/>
      <x:c r="E12" s="75"/>
      <x:c r="F12" s="75"/>
      <x:c r="G12" s="75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  <x:c r="AA12" s="73"/>
    </x:row>
    <x:row r="13">
      <x:c r="A13" s="75"/>
      <x:c r="B13" s="75"/>
      <x:c r="C13" s="75"/>
      <x:c r="D13" s="75"/>
      <x:c r="E13" s="75"/>
      <x:c r="F13" s="75"/>
      <x:c r="G13" s="75"/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  <x:c r="AA13" s="73"/>
    </x:row>
    <x:row r="14">
      <x:c r="A14" s="73"/>
      <x:c r="B14" s="73"/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  <x:c r="AA14" s="73"/>
    </x:row>
    <x:row r="15">
      <x:c r="A15" s="73"/>
      <x:c r="B15" s="73"/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  <x:c r="AA15" s="73"/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  <x:c r="AA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  <x:c r="AA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  <x:c r="AA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  <x:c r="AA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  <x:c r="AA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  <x:c r="AA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  <x:c r="AA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  <x:c r="AA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  <x:c r="AA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  <x:c r="AA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  <x:c r="AA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  <x:c r="AA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  <x:c r="AA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  <x:c r="AA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  <x:c r="AA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  <x:c r="AA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  <x:c r="AA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  <x:c r="AA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  <x:c r="AA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  <x:c r="AA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  <x:c r="AA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  <x:c r="AA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  <x:c r="AA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  <x:c r="AA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  <x:c r="AA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  <x:c r="AA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  <x:c r="AA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  <x:c r="AA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  <x:c r="AA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  <x:c r="AA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  <x:c r="AA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  <x:c r="AA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  <x:c r="AA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  <x:c r="AA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  <x:c r="AA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  <x:c r="AA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  <x:c r="AA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  <x:c r="AA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  <x:c r="AA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  <x:c r="AA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  <x:c r="AA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  <x:c r="AA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  <x:c r="AA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  <x:c r="AA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  <x:c r="AA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  <x:c r="AA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  <x:c r="AA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  <x:c r="AA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  <x:c r="AA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  <x:c r="AA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  <x:c r="AA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  <x:c r="AA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  <x:c r="AA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  <x:c r="AA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  <x:c r="AA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  <x:c r="AA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  <x:c r="AA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  <x:c r="AA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  <x:c r="AA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  <x:c r="AA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  <x:c r="AA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  <x:c r="AA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  <x:c r="AA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  <x:c r="AA80" s="73"/>
    </x:row>
  </x:sheetData>
  <x:mergeCells>
    <x:mergeCell ref="A1:G1"/>
    <x:mergeCell ref="A10:G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3" hidden="0" customWidth="1"/>
    <x:col min="4" max="4" width="12" hidden="0" customWidth="1"/>
    <x:col min="5" max="5" width="10" hidden="0" customWidth="1"/>
    <x:col min="6" max="6" width="18" hidden="0" customWidth="1"/>
    <x:col min="7" max="7" width="30" hidden="0" customWidth="1"/>
    <x:col min="8" max="8" width="15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82" t="str">
        <x:v>Dashboard — Corporate Credit Early-Warning Watchlist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  <x:c r="AA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  <x:c r="AA2" s="73"/>
    </x:row>
    <x:row r="3">
      <x:c r="A3" s="74" t="str">
        <x:v>Companies</x:v>
      </x:c>
      <x:c r="B3" s="90" t="n">
        <x:v>15</x:v>
      </x:c>
      <x:c r="C3" s="73"/>
      <x:c r="D3" s="76" t="str">
        <x:v>Decision rule</x:v>
      </x:c>
      <x:c r="E3" s="76"/>
      <x:c r="F3" s="76"/>
      <x:c r="G3" s="76"/>
      <x:c r="H3" s="76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  <x:c r="AA3" s="73"/>
    </x:row>
    <x:row r="4">
      <x:c r="A4" s="74" t="str">
        <x:v>Sectors</x:v>
      </x:c>
      <x:c r="B4" s="90" t="n">
        <x:v>5</x:v>
      </x:c>
      <x:c r="C4" s="73"/>
      <x:c r="D4" s="91" t="str">
        <x:v>GREEN: routine monitoring.
AMBER: enhanced review of the specific trigger and funding headroom.
RED: escalate for deeper credit review. Status is driven by explicit thresholds plus a relative 0–100 risk screen.</x:v>
      </x:c>
      <x:c r="E4" s="91"/>
      <x:c r="F4" s="91"/>
      <x:c r="G4" s="91"/>
      <x:c r="H4" s="91"/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  <x:c r="AA4" s="73"/>
    </x:row>
    <x:row r="5">
      <x:c r="A5" s="74" t="str">
        <x:v>Company-years</x:v>
      </x:c>
      <x:c r="B5" s="90" t="n">
        <x:v>60</x:v>
      </x:c>
      <x:c r="C5" s="73"/>
      <x:c r="D5" s="91"/>
      <x:c r="E5" s="91"/>
      <x:c r="F5" s="91"/>
      <x:c r="G5" s="91"/>
      <x:c r="H5" s="91"/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  <x:c r="AA5" s="73"/>
    </x:row>
    <x:row r="6">
      <x:c r="A6" s="74" t="str">
        <x:v>Stress scenarios</x:v>
      </x:c>
      <x:c r="B6" s="90" t="n">
        <x:v>3</x:v>
      </x:c>
      <x:c r="C6" s="73"/>
      <x:c r="D6" s="91"/>
      <x:c r="E6" s="91"/>
      <x:c r="F6" s="91"/>
      <x:c r="G6" s="91"/>
      <x:c r="H6" s="91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  <x:c r="AA6" s="73"/>
    </x:row>
    <x:row r="7">
      <x:c r="A7" s="74" t="str">
        <x:v>RED names</x:v>
      </x:c>
      <x:c r="B7" s="90" t="n">
        <x:v>3</x:v>
      </x:c>
      <x:c r="C7" s="73"/>
      <x:c r="D7" s="91"/>
      <x:c r="E7" s="91"/>
      <x:c r="F7" s="91"/>
      <x:c r="G7" s="91"/>
      <x:c r="H7" s="91"/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  <x:c r="AA7" s="73"/>
    </x:row>
    <x:row r="8">
      <x:c r="A8" s="74" t="str">
        <x:v>AMBER names</x:v>
      </x:c>
      <x:c r="B8" s="90" t="n">
        <x:v>6</x:v>
      </x:c>
      <x:c r="C8" s="73"/>
      <x:c r="D8" s="91"/>
      <x:c r="E8" s="91"/>
      <x:c r="F8" s="91"/>
      <x:c r="G8" s="91"/>
      <x:c r="H8" s="91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  <x:c r="AA8" s="73"/>
    </x:row>
    <x:row r="9">
      <x:c r="A9" s="73"/>
      <x:c r="B9" s="73"/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  <x:c r="AA9" s="73"/>
    </x:row>
    <x:row r="10">
      <x:c r="A10" s="74" t="str">
        <x:v>Rank</x:v>
      </x:c>
      <x:c r="B10" s="74" t="str">
        <x:v>Company</x:v>
      </x:c>
      <x:c r="C10" s="74" t="str">
        <x:v>Sector</x:v>
      </x:c>
      <x:c r="D10" s="74" t="str">
        <x:v>Risk Score</x:v>
      </x:c>
      <x:c r="E10" s="74" t="str">
        <x:v>Status</x:v>
      </x:c>
      <x:c r="F10" s="74" t="str">
        <x:v>Action</x:v>
      </x:c>
      <x:c r="G10" s="74" t="str">
        <x:v>Main Trigger</x:v>
      </x:c>
      <x:c r="H10" s="74" t="str">
        <x:v>Severe Coverage</x:v>
      </x:c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  <x:c r="AA10" s="73"/>
    </x:row>
    <x:row r="11">
      <x:c r="A11" s="38" t="n">
        <x:f>'Watchlist'!Z4</x:f>
        <x:v>1</x:v>
      </x:c>
      <x:c r="B11" s="38" t="str">
        <x:f>'Watchlist'!A4</x:f>
        <x:v>United Utilities</x:v>
      </x:c>
      <x:c r="C11" s="38" t="str">
        <x:f>'Watchlist'!C4</x:f>
        <x:v>Utilities</x:v>
      </x:c>
      <x:c r="D11" s="70" t="n">
        <x:f>'Watchlist'!S4</x:f>
        <x:v>84.64285714285714</x:v>
      </x:c>
      <x:c r="E11" s="38" t="str">
        <x:f>'Watchlist'!X4</x:f>
        <x:v>RED</x:v>
      </x:c>
      <x:c r="F11" s="38" t="str">
        <x:f>'Watchlist'!Y4</x:f>
        <x:v>Escalate</x:v>
      </x:c>
      <x:c r="G11" s="38" t="str">
        <x:f>'Watchlist'!W4</x:f>
        <x:v>Debt / EBIT &gt; red threshold</x:v>
      </x:c>
      <x:c r="H11" s="52" t="n">
        <x:f>'Watchlist'!K4</x:f>
        <x:v>1.6919894154438297</x:v>
      </x:c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  <x:c r="AA11" s="73"/>
    </x:row>
    <x:row r="12">
      <x:c r="A12" s="38" t="n">
        <x:f>'Watchlist'!Z5</x:f>
        <x:v>2</x:v>
      </x:c>
      <x:c r="B12" s="38" t="str">
        <x:f>'Watchlist'!A5</x:f>
        <x:v>National Grid</x:v>
      </x:c>
      <x:c r="C12" s="38" t="str">
        <x:f>'Watchlist'!C5</x:f>
        <x:v>Utilities</x:v>
      </x:c>
      <x:c r="D12" s="70" t="n">
        <x:f>'Watchlist'!S5</x:f>
        <x:v>80</x:v>
      </x:c>
      <x:c r="E12" s="38" t="str">
        <x:f>'Watchlist'!X5</x:f>
        <x:v>RED</x:v>
      </x:c>
      <x:c r="F12" s="38" t="str">
        <x:f>'Watchlist'!Y5</x:f>
        <x:v>Escalate</x:v>
      </x:c>
      <x:c r="G12" s="38" t="str">
        <x:f>'Watchlist'!W5</x:f>
        <x:v>Debt / EBIT &gt; red threshold</x:v>
      </x:c>
      <x:c r="H12" s="52" t="n">
        <x:f>'Watchlist'!K5</x:f>
        <x:v>2.1678636959370903</x:v>
      </x:c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  <x:c r="AA12" s="73"/>
    </x:row>
    <x:row r="13">
      <x:c r="A13" s="38" t="n">
        <x:f>'Watchlist'!Z6</x:f>
        <x:v>3</x:v>
      </x:c>
      <x:c r="B13" s="38" t="str">
        <x:f>'Watchlist'!A6</x:f>
        <x:v>Vodafone</x:v>
      </x:c>
      <x:c r="C13" s="38" t="str">
        <x:f>'Watchlist'!C6</x:f>
        <x:v>Telecom</x:v>
      </x:c>
      <x:c r="D13" s="70" t="n">
        <x:f>'Watchlist'!S6</x:f>
        <x:v>79.64285714285714</x:v>
      </x:c>
      <x:c r="E13" s="38" t="str">
        <x:f>'Watchlist'!X6</x:f>
        <x:v>RED</x:v>
      </x:c>
      <x:c r="F13" s="38" t="str">
        <x:f>'Watchlist'!Y6</x:f>
        <x:v>Escalate</x:v>
      </x:c>
      <x:c r="G13" s="38" t="str">
        <x:f>'Watchlist'!W6</x:f>
        <x:v>Interest coverage &lt; red threshold</x:v>
      </x:c>
      <x:c r="H13" s="52" t="n">
        <x:f>'Watchlist'!K6</x:f>
        <x:v>0.9102800361336948</x:v>
      </x:c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  <x:c r="AA13" s="73"/>
    </x:row>
    <x:row r="14">
      <x:c r="A14" s="38" t="n">
        <x:f>'Watchlist'!Z7</x:f>
        <x:v>4</x:v>
      </x:c>
      <x:c r="B14" s="38" t="str">
        <x:f>'Watchlist'!A7</x:f>
        <x:v>BT Group</x:v>
      </x:c>
      <x:c r="C14" s="38" t="str">
        <x:f>'Watchlist'!C7</x:f>
        <x:v>Telecom</x:v>
      </x:c>
      <x:c r="D14" s="70" t="n">
        <x:f>'Watchlist'!S7</x:f>
        <x:v>73.21428571428571</x:v>
      </x:c>
      <x:c r="E14" s="38" t="str">
        <x:f>'Watchlist'!X7</x:f>
        <x:v>AMBER</x:v>
      </x:c>
      <x:c r="F14" s="38" t="str">
        <x:f>'Watchlist'!Y7</x:f>
        <x:v>Enhanced Review</x:v>
      </x:c>
      <x:c r="G14" s="38" t="str">
        <x:f>'Watchlist'!W7</x:f>
        <x:v>Debt / EBIT &gt; red threshold</x:v>
      </x:c>
      <x:c r="H14" s="52" t="n">
        <x:f>'Watchlist'!K7</x:f>
        <x:v>1.3271868289191124</x:v>
      </x:c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  <x:c r="AA14" s="73"/>
    </x:row>
    <x:row r="15">
      <x:c r="A15" s="38" t="n">
        <x:f>'Watchlist'!Z8</x:f>
        <x:v>5</x:v>
      </x:c>
      <x:c r="B15" s="38" t="str">
        <x:f>'Watchlist'!A8</x:f>
        <x:v>Rentokil Initial</x:v>
      </x:c>
      <x:c r="C15" s="38" t="str">
        <x:f>'Watchlist'!C8</x:f>
        <x:v>Industrials &amp; Services</x:v>
      </x:c>
      <x:c r="D15" s="70" t="n">
        <x:f>'Watchlist'!S8</x:f>
        <x:v>68.92857142857143</x:v>
      </x:c>
      <x:c r="E15" s="38" t="str">
        <x:f>'Watchlist'!X8</x:f>
        <x:v>AMBER</x:v>
      </x:c>
      <x:c r="F15" s="38" t="str">
        <x:f>'Watchlist'!Y8</x:f>
        <x:v>Enhanced Review</x:v>
      </x:c>
      <x:c r="G15" s="38" t="str">
        <x:f>'Watchlist'!W8</x:f>
        <x:v>Debt / EBIT &gt; red threshold</x:v>
      </x:c>
      <x:c r="H15" s="52" t="n">
        <x:f>'Watchlist'!K8</x:f>
        <x:v>2.368270042194093</x:v>
      </x:c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  <x:c r="AA15" s="73"/>
    </x:row>
    <x:row r="16">
      <x:c r="A16" s="38" t="n">
        <x:f>'Watchlist'!Z9</x:f>
        <x:v>6</x:v>
      </x:c>
      <x:c r="B16" s="38" t="str">
        <x:f>'Watchlist'!A9</x:f>
        <x:v>SSE</x:v>
      </x:c>
      <x:c r="C16" s="38" t="str">
        <x:f>'Watchlist'!C9</x:f>
        <x:v>Utilities</x:v>
      </x:c>
      <x:c r="D16" s="70" t="n">
        <x:f>'Watchlist'!S9</x:f>
        <x:v>61.07142857142858</x:v>
      </x:c>
      <x:c r="E16" s="38" t="str">
        <x:f>'Watchlist'!X9</x:f>
        <x:v>AMBER</x:v>
      </x:c>
      <x:c r="F16" s="38" t="str">
        <x:f>'Watchlist'!Y9</x:f>
        <x:v>Enhanced Review</x:v>
      </x:c>
      <x:c r="G16" s="38" t="str">
        <x:f>'Watchlist'!W9</x:f>
        <x:v>Debt / EBIT &gt; amber threshold</x:v>
      </x:c>
      <x:c r="H16" s="52" t="n">
        <x:f>'Watchlist'!K9</x:f>
        <x:v>3.894845360824742</x:v>
      </x:c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  <x:c r="AA16" s="73"/>
    </x:row>
    <x:row r="17">
      <x:c r="A17" s="38" t="n">
        <x:f>'Watchlist'!Z10</x:f>
        <x:v>7</x:v>
      </x:c>
      <x:c r="B17" s="38" t="str">
        <x:f>'Watchlist'!A10</x:f>
        <x:v>Tesco</x:v>
      </x:c>
      <x:c r="C17" s="38" t="str">
        <x:f>'Watchlist'!C10</x:f>
        <x:v>Consumer &amp; Retail</x:v>
      </x:c>
      <x:c r="D17" s="70" t="n">
        <x:f>'Watchlist'!S10</x:f>
        <x:v>55.35714285714286</x:v>
      </x:c>
      <x:c r="E17" s="38" t="str">
        <x:f>'Watchlist'!X10</x:f>
        <x:v>AMBER</x:v>
      </x:c>
      <x:c r="F17" s="38" t="str">
        <x:f>'Watchlist'!Y10</x:f>
        <x:v>Enhanced Review</x:v>
      </x:c>
      <x:c r="G17" s="38" t="str">
        <x:f>'Watchlist'!W10</x:f>
        <x:v>Debt / EBIT &gt; amber threshold</x:v>
      </x:c>
      <x:c r="H17" s="52" t="n">
        <x:f>'Watchlist'!K10</x:f>
        <x:v>2.49591677503251</x:v>
      </x:c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  <x:c r="AA17" s="73"/>
    </x:row>
    <x:row r="18">
      <x:c r="A18" s="38" t="n">
        <x:f>'Watchlist'!Z11</x:f>
        <x:v>8</x:v>
      </x:c>
      <x:c r="B18" s="38" t="str">
        <x:f>'Watchlist'!A11</x:f>
        <x:v>Smith &amp; Nephew</x:v>
      </x:c>
      <x:c r="C18" s="38" t="str">
        <x:f>'Watchlist'!C11</x:f>
        <x:v>Healthcare</x:v>
      </x:c>
      <x:c r="D18" s="70" t="n">
        <x:f>'Watchlist'!S11</x:f>
        <x:v>47.14285714285714</x:v>
      </x:c>
      <x:c r="E18" s="38" t="str">
        <x:f>'Watchlist'!X11</x:f>
        <x:v>GREEN</x:v>
      </x:c>
      <x:c r="F18" s="38" t="str">
        <x:f>'Watchlist'!Y11</x:f>
        <x:v>Routine Monitor</x:v>
      </x:c>
      <x:c r="G18" s="38" t="str">
        <x:f>'Watchlist'!W11</x:f>
        <x:v>None</x:v>
      </x:c>
      <x:c r="H18" s="52" t="n">
        <x:f>'Watchlist'!K11</x:f>
        <x:v>4.009142857142857</x:v>
      </x:c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  <x:c r="AA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  <x:c r="AA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  <x:c r="AA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  <x:c r="AA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  <x:c r="AA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  <x:c r="AA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  <x:c r="AA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  <x:c r="AA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  <x:c r="AA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  <x:c r="AA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  <x:c r="AA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  <x:c r="AA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  <x:c r="AA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  <x:c r="AA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  <x:c r="AA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  <x:c r="AA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  <x:c r="AA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  <x:c r="AA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  <x:c r="AA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  <x:c r="AA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  <x:c r="AA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  <x:c r="AA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  <x:c r="AA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  <x:c r="AA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  <x:c r="AA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  <x:c r="AA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  <x:c r="AA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  <x:c r="AA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  <x:c r="AA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  <x:c r="AA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  <x:c r="AA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  <x:c r="AA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  <x:c r="AA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  <x:c r="AA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  <x:c r="AA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  <x:c r="AA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  <x:c r="AA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  <x:c r="AA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  <x:c r="AA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  <x:c r="AA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  <x:c r="AA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  <x:c r="AA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  <x:c r="AA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  <x:c r="AA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  <x:c r="AA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  <x:c r="AA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  <x:c r="AA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  <x:c r="AA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  <x:c r="AA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  <x:c r="AA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  <x:c r="AA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  <x:c r="AA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  <x:c r="AA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  <x:c r="AA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  <x:c r="AA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  <x:c r="AA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  <x:c r="AA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  <x:c r="AA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  <x:c r="AA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  <x:c r="AA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  <x:c r="AA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  <x:c r="AA80" s="73"/>
    </x:row>
  </x:sheetData>
  <x:mergeCells>
    <x:mergeCell ref="A1:L1"/>
    <x:mergeCell ref="D3:H3"/>
    <x:mergeCell ref="D4:H8"/>
  </x:mergeCells>
  <x:conditionalFormatting sqref="E11:E18">
    <x:cfRule type="expression" dxfId="3" priority="1">
      <x:formula>E11="RED"</x:formula>
    </x:cfRule>
    <x:cfRule type="expression" dxfId="4" priority="2">
      <x:formula>E11="AMBER"</x:formula>
    </x:cfRule>
    <x:cfRule type="expression" dxfId="5" priority="3">
      <x:formula>E11="GREEN"</x:formula>
    </x:cfRule>
  </x:conditionalFormatting>
  <x:pageMargins left="0.7" right="0.7" top="0.75" bottom="0.75" header="0.3" footer="0.3"/>
  <x:drawing xmlns:r="http://schemas.openxmlformats.org/officeDocument/2006/relationships" r:id="Rf47e4957e8704da0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23" hidden="0" customWidth="1"/>
    <x:col min="4" max="4" width="9" hidden="0" customWidth="1"/>
    <x:col min="5" max="5" width="53" hidden="0" customWidth="1"/>
    <x:col min="6" max="6" width="56" hidden="0" customWidth="1"/>
    <x:col min="7" max="7" width="42" hidden="0" customWidth="1"/>
    <x:col min="8" max="8" width="52" hidden="0" customWidth="1"/>
  </x:cols>
  <x:sheetData>
    <x:row r="1">
      <x:c r="A1" s="82" t="str">
        <x:v>Source Registry — Structured Extraction + Official IR Validation Layer</x:v>
      </x:c>
      <x:c r="B1" s="72"/>
      <x:c r="C1" s="72"/>
      <x:c r="D1" s="72"/>
      <x:c r="E1" s="72"/>
      <x:c r="F1" s="72"/>
      <x:c r="G1" s="72"/>
      <x:c r="H1" s="72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  <x:c r="AA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  <x:c r="AA2" s="73"/>
    </x:row>
    <x:row r="3">
      <x:c r="A3" s="74" t="str">
        <x:v>Company</x:v>
      </x:c>
      <x:c r="B3" s="74" t="str">
        <x:v>Ticker</x:v>
      </x:c>
      <x:c r="C3" s="74" t="str">
        <x:v>Sector</x:v>
      </x:c>
      <x:c r="D3" s="74" t="str">
        <x:v>Currency</x:v>
      </x:c>
      <x:c r="E3" s="74" t="str">
        <x:v>Structured Data URL</x:v>
      </x:c>
      <x:c r="F3" s="74" t="str">
        <x:v>Official IR URL</x:v>
      </x:c>
      <x:c r="G3" s="74" t="str">
        <x:v>Provider / Method</x:v>
      </x:c>
      <x:c r="H3" s="74" t="str">
        <x:v>Validation Note</x:v>
      </x:c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  <x:c r="AA3" s="73"/>
    </x:row>
    <x:row r="4">
      <x:c r="A4" s="73" t="str">
        <x:v>Diageo</x:v>
      </x:c>
      <x:c r="B4" s="73" t="str">
        <x:v>DGE</x:v>
      </x:c>
      <x:c r="C4" s="73" t="str">
        <x:v>Consumer &amp; Retail</x:v>
      </x:c>
      <x:c r="D4" s="73" t="str">
        <x:v>USD</x:v>
      </x:c>
      <x:c r="E4" s="30" t="str">
        <x:v>https://stockanalysis.com/quote/lon/DGE/financials/</x:v>
      </x:c>
      <x:c r="F4" s="30" t="str">
        <x:v>https://www.diageo.com/en/investors/results-reports-and-events/annual-report-2026</x:v>
      </x:c>
      <x:c r="G4" s="75" t="str">
        <x:v>Public standardized financial page; frozen snapshot stored in repo</x:v>
      </x:c>
      <x:c r="H4" s="75" t="str">
        <x:v>Standardized public financial snapshot; official IR report registered for validation.</x:v>
      </x:c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  <x:c r="AA4" s="73"/>
    </x:row>
    <x:row r="5">
      <x:c r="A5" s="73" t="str">
        <x:v>Tesco</x:v>
      </x:c>
      <x:c r="B5" s="73" t="str">
        <x:v>TSCO</x:v>
      </x:c>
      <x:c r="C5" s="73" t="str">
        <x:v>Consumer &amp; Retail</x:v>
      </x:c>
      <x:c r="D5" s="73" t="str">
        <x:v>GBP</x:v>
      </x:c>
      <x:c r="E5" s="30" t="str">
        <x:v>https://stockanalysis.com/quote/lon/TSCO/financials/</x:v>
      </x:c>
      <x:c r="F5" s="30" t="str">
        <x:v>https://www.tescoplc.com/investors/reports-results-and-presentations/annual-report-2025</x:v>
      </x:c>
      <x:c r="G5" s="75" t="str">
        <x:v>Public standardized financial page; frozen snapshot stored in repo</x:v>
      </x:c>
      <x:c r="H5" s="75" t="str">
        <x:v>Standardized public financial snapshot; official IR report registered for validation.</x:v>
      </x:c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  <x:c r="AA5" s="73"/>
    </x:row>
    <x:row r="6">
      <x:c r="A6" s="73" t="str">
        <x:v>Unilever</x:v>
      </x:c>
      <x:c r="B6" s="73" t="str">
        <x:v>ULVR</x:v>
      </x:c>
      <x:c r="C6" s="73" t="str">
        <x:v>Consumer &amp; Retail</x:v>
      </x:c>
      <x:c r="D6" s="73" t="str">
        <x:v>EUR</x:v>
      </x:c>
      <x:c r="E6" s="30" t="str">
        <x:v>https://stockanalysis.com/quote/lon/ULVR/financials/</x:v>
      </x:c>
      <x:c r="F6" s="30" t="str">
        <x:v>https://www.unilever.com/investors/annual-report-and-accounts/</x:v>
      </x:c>
      <x:c r="G6" s="75" t="str">
        <x:v>Public standardized financial page; frozen snapshot stored in repo</x:v>
      </x:c>
      <x:c r="H6" s="75" t="str">
        <x:v>Standardized public financial snapshot; official IR report registered for validation.</x:v>
      </x:c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  <x:c r="AA6" s="73"/>
    </x:row>
    <x:row r="7">
      <x:c r="A7" s="73" t="str">
        <x:v>AstraZeneca</x:v>
      </x:c>
      <x:c r="B7" s="73" t="str">
        <x:v>AZN</x:v>
      </x:c>
      <x:c r="C7" s="73" t="str">
        <x:v>Healthcare</x:v>
      </x:c>
      <x:c r="D7" s="73" t="str">
        <x:v>USD</x:v>
      </x:c>
      <x:c r="E7" s="30" t="str">
        <x:v>https://stockanalysis.com/quote/lon/AZN/financials/</x:v>
      </x:c>
      <x:c r="F7" s="30" t="str">
        <x:v>https://www.astrazeneca.com/investor-relations/annual-reports.html</x:v>
      </x:c>
      <x:c r="G7" s="75" t="str">
        <x:v>Public standardized financial page; frozen snapshot stored in repo</x:v>
      </x:c>
      <x:c r="H7" s="75" t="str">
        <x:v>Standardized public financial snapshot; official IR report registered for validation.</x:v>
      </x:c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  <x:c r="AA7" s="73"/>
    </x:row>
    <x:row r="8">
      <x:c r="A8" s="73" t="str">
        <x:v>GSK</x:v>
      </x:c>
      <x:c r="B8" s="73" t="str">
        <x:v>GSK</x:v>
      </x:c>
      <x:c r="C8" s="73" t="str">
        <x:v>Healthcare</x:v>
      </x:c>
      <x:c r="D8" s="73" t="str">
        <x:v>GBP</x:v>
      </x:c>
      <x:c r="E8" s="30" t="str">
        <x:v>https://stockanalysis.com/quote/lon/GSK/financials/</x:v>
      </x:c>
      <x:c r="F8" s="30" t="str">
        <x:v>https://www.gsk.com/en-gb/investors/financial-reports/annual-report-2025/</x:v>
      </x:c>
      <x:c r="G8" s="75" t="str">
        <x:v>Public standardized financial page; frozen snapshot stored in repo</x:v>
      </x:c>
      <x:c r="H8" s="75" t="str">
        <x:v>Standardized public financial snapshot; official IR report registered for validation.</x:v>
      </x:c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  <x:c r="AA8" s="73"/>
    </x:row>
    <x:row r="9">
      <x:c r="A9" s="73" t="str">
        <x:v>Smith &amp; Nephew</x:v>
      </x:c>
      <x:c r="B9" s="73" t="str">
        <x:v>SN</x:v>
      </x:c>
      <x:c r="C9" s="73" t="str">
        <x:v>Healthcare</x:v>
      </x:c>
      <x:c r="D9" s="73" t="str">
        <x:v>USD</x:v>
      </x:c>
      <x:c r="E9" s="30" t="str">
        <x:v>https://stockanalysis.com/quote/lon/SN/financials/</x:v>
      </x:c>
      <x:c r="F9" s="30" t="str">
        <x:v>https://www.smith-nephew.com/en/who-we-are/investors/annual-report-2025</x:v>
      </x:c>
      <x:c r="G9" s="75" t="str">
        <x:v>Public standardized financial page; frozen snapshot stored in repo</x:v>
      </x:c>
      <x:c r="H9" s="75" t="str">
        <x:v>Standardized public financial snapshot; official IR report registered for validation.</x:v>
      </x:c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  <x:c r="AA9" s="73"/>
    </x:row>
    <x:row r="10">
      <x:c r="A10" s="73" t="str">
        <x:v>Compass Group</x:v>
      </x:c>
      <x:c r="B10" s="73" t="str">
        <x:v>CPG</x:v>
      </x:c>
      <x:c r="C10" s="73" t="str">
        <x:v>Industrials &amp; Services</x:v>
      </x:c>
      <x:c r="D10" s="73" t="str">
        <x:v>USD</x:v>
      </x:c>
      <x:c r="E10" s="30" t="str">
        <x:v>https://stockanalysis.com/quote/lon/CPG/financials/</x:v>
      </x:c>
      <x:c r="F10" s="30" t="str">
        <x:v>https://www.compass-group.com/en/investors/annual-report-2025.html</x:v>
      </x:c>
      <x:c r="G10" s="75" t="str">
        <x:v>Public standardized financial page; frozen snapshot stored in repo</x:v>
      </x:c>
      <x:c r="H10" s="75" t="str">
        <x:v>Standardized public financial snapshot; official IR report registered for validation.</x:v>
      </x:c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  <x:c r="AA10" s="73"/>
    </x:row>
    <x:row r="11">
      <x:c r="A11" s="73" t="str">
        <x:v>RELX</x:v>
      </x:c>
      <x:c r="B11" s="73" t="str">
        <x:v>REL</x:v>
      </x:c>
      <x:c r="C11" s="73" t="str">
        <x:v>Industrials &amp; Services</x:v>
      </x:c>
      <x:c r="D11" s="73" t="str">
        <x:v>GBP</x:v>
      </x:c>
      <x:c r="E11" s="30" t="str">
        <x:v>https://stockanalysis.com/quote/lon/REL/financials/</x:v>
      </x:c>
      <x:c r="F11" s="30" t="str">
        <x:v>https://www.relx.com/investors/annual-reports/2025</x:v>
      </x:c>
      <x:c r="G11" s="75" t="str">
        <x:v>Public standardized financial page; frozen snapshot stored in repo</x:v>
      </x:c>
      <x:c r="H11" s="75" t="str">
        <x:v>Standardized financial snapshot; RELX interest-cost series supplemented with company-reported adjusted net interest data.</x:v>
      </x:c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  <x:c r="AA11" s="73"/>
    </x:row>
    <x:row r="12">
      <x:c r="A12" s="73" t="str">
        <x:v>Rentokil Initial</x:v>
      </x:c>
      <x:c r="B12" s="73" t="str">
        <x:v>RTO</x:v>
      </x:c>
      <x:c r="C12" s="73" t="str">
        <x:v>Industrials &amp; Services</x:v>
      </x:c>
      <x:c r="D12" s="73" t="str">
        <x:v>USD</x:v>
      </x:c>
      <x:c r="E12" s="30" t="str">
        <x:v>https://stockanalysis.com/quote/lon/RTO/financials/</x:v>
      </x:c>
      <x:c r="F12" s="30" t="str">
        <x:v>https://www.rentokil-initial.com/investors/annual-reports</x:v>
      </x:c>
      <x:c r="G12" s="75" t="str">
        <x:v>Public standardized financial page; frozen snapshot stored in repo</x:v>
      </x:c>
      <x:c r="H12" s="75" t="str">
        <x:v>Standardized public financial snapshot; official IR report registered for validation.</x:v>
      </x:c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  <x:c r="AA12" s="73"/>
    </x:row>
    <x:row r="13">
      <x:c r="A13" s="73" t="str">
        <x:v>Rolls-Royce</x:v>
      </x:c>
      <x:c r="B13" s="73" t="str">
        <x:v>RR</x:v>
      </x:c>
      <x:c r="C13" s="73" t="str">
        <x:v>Industrials &amp; Services</x:v>
      </x:c>
      <x:c r="D13" s="73" t="str">
        <x:v>GBP</x:v>
      </x:c>
      <x:c r="E13" s="30" t="str">
        <x:v>https://stockanalysis.com/quote/lon/RR/financials/</x:v>
      </x:c>
      <x:c r="F13" s="30" t="str">
        <x:v>https://www.rolls-royce.com/investors/results-reports-and-presentations/annual-report-2025.aspx</x:v>
      </x:c>
      <x:c r="G13" s="75" t="str">
        <x:v>Public standardized financial page; frozen snapshot stored in repo</x:v>
      </x:c>
      <x:c r="H13" s="75" t="str">
        <x:v>Standardized public financial snapshot; official IR report registered for validation.</x:v>
      </x:c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  <x:c r="AA13" s="73"/>
    </x:row>
    <x:row r="14">
      <x:c r="A14" s="73" t="str">
        <x:v>BT Group</x:v>
      </x:c>
      <x:c r="B14" s="73" t="str">
        <x:v>BT.A</x:v>
      </x:c>
      <x:c r="C14" s="73" t="str">
        <x:v>Telecom</x:v>
      </x:c>
      <x:c r="D14" s="73" t="str">
        <x:v>GBP</x:v>
      </x:c>
      <x:c r="E14" s="30" t="str">
        <x:v>https://stockanalysis.com/quote/lon/BT.A/financials/</x:v>
      </x:c>
      <x:c r="F14" s="30" t="str">
        <x:v>https://www.bt.com/about/investors/financial-reporting-and-news/annual-reports</x:v>
      </x:c>
      <x:c r="G14" s="75" t="str">
        <x:v>Public standardized financial page; frozen snapshot stored in repo</x:v>
      </x:c>
      <x:c r="H14" s="75" t="str">
        <x:v>Standardized public financial snapshot; official IR report registered for validation.</x:v>
      </x:c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  <x:c r="AA14" s="73"/>
    </x:row>
    <x:row r="15">
      <x:c r="A15" s="73" t="str">
        <x:v>Vodafone</x:v>
      </x:c>
      <x:c r="B15" s="73" t="str">
        <x:v>VOD</x:v>
      </x:c>
      <x:c r="C15" s="73" t="str">
        <x:v>Telecom</x:v>
      </x:c>
      <x:c r="D15" s="73" t="str">
        <x:v>EUR</x:v>
      </x:c>
      <x:c r="E15" s="30" t="str">
        <x:v>https://stockanalysis.com/quote/lon/VOD/financials/</x:v>
      </x:c>
      <x:c r="F15" s="30" t="str">
        <x:v>https://www.vodafone.com/investors/performance-and-reports/annual-reporting</x:v>
      </x:c>
      <x:c r="G15" s="75" t="str">
        <x:v>Public standardized financial page; frozen snapshot stored in repo</x:v>
      </x:c>
      <x:c r="H15" s="75" t="str">
        <x:v>Standardized public financial snapshot; official IR report registered for validation.</x:v>
      </x:c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  <x:c r="AA15" s="73"/>
    </x:row>
    <x:row r="16">
      <x:c r="A16" s="73" t="str">
        <x:v>National Grid</x:v>
      </x:c>
      <x:c r="B16" s="73" t="str">
        <x:v>NG</x:v>
      </x:c>
      <x:c r="C16" s="73" t="str">
        <x:v>Utilities</x:v>
      </x:c>
      <x:c r="D16" s="73" t="str">
        <x:v>GBP</x:v>
      </x:c>
      <x:c r="E16" s="30" t="str">
        <x:v>https://stockanalysis.com/quote/lon/NG/financials/</x:v>
      </x:c>
      <x:c r="F16" s="30" t="str">
        <x:v>https://www.nationalgrid.com/investors/resources/reports-plc</x:v>
      </x:c>
      <x:c r="G16" s="75" t="str">
        <x:v>Public standardized financial page; frozen snapshot stored in repo</x:v>
      </x:c>
      <x:c r="H16" s="75" t="str">
        <x:v>Standardized public financial snapshot; official IR report registered for validation.</x:v>
      </x:c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  <x:c r="AA16" s="73"/>
    </x:row>
    <x:row r="17">
      <x:c r="A17" s="73" t="str">
        <x:v>SSE</x:v>
      </x:c>
      <x:c r="B17" s="73" t="str">
        <x:v>SSE</x:v>
      </x:c>
      <x:c r="C17" s="73" t="str">
        <x:v>Utilities</x:v>
      </x:c>
      <x:c r="D17" s="73" t="str">
        <x:v>GBP</x:v>
      </x:c>
      <x:c r="E17" s="30" t="str">
        <x:v>https://stockanalysis.com/quote/lon/SSE/financials/</x:v>
      </x:c>
      <x:c r="F17" s="30" t="str">
        <x:v>https://www.sse.com/investors/annual-report-2026/</x:v>
      </x:c>
      <x:c r="G17" s="75" t="str">
        <x:v>Public standardized financial page; frozen snapshot stored in repo</x:v>
      </x:c>
      <x:c r="H17" s="75" t="str">
        <x:v>Standardized public financial snapshot; official IR report registered for validation.</x:v>
      </x:c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  <x:c r="AA17" s="73"/>
    </x:row>
    <x:row r="18">
      <x:c r="A18" s="73" t="str">
        <x:v>United Utilities</x:v>
      </x:c>
      <x:c r="B18" s="73" t="str">
        <x:v>UU</x:v>
      </x:c>
      <x:c r="C18" s="73" t="str">
        <x:v>Utilities</x:v>
      </x:c>
      <x:c r="D18" s="73" t="str">
        <x:v>GBP</x:v>
      </x:c>
      <x:c r="E18" s="30" t="str">
        <x:v>https://stockanalysis.com/quote/lon/UU/financials/</x:v>
      </x:c>
      <x:c r="F18" s="30" t="str">
        <x:v>https://www.unitedutilities.com/corporate/investors/Results-and-presentations/annual-reports/</x:v>
      </x:c>
      <x:c r="G18" s="75" t="str">
        <x:v>Public standardized financial page; frozen snapshot stored in repo</x:v>
      </x:c>
      <x:c r="H18" s="75" t="str">
        <x:v>Standardized public financial snapshot; official IR report registered for validation.</x:v>
      </x:c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  <x:c r="AA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  <x:c r="AA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  <x:c r="AA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  <x:c r="AA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  <x:c r="AA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  <x:c r="AA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  <x:c r="AA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  <x:c r="AA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  <x:c r="AA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  <x:c r="AA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  <x:c r="AA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  <x:c r="AA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  <x:c r="AA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  <x:c r="AA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  <x:c r="AA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  <x:c r="AA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  <x:c r="AA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  <x:c r="AA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  <x:c r="AA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  <x:c r="AA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  <x:c r="AA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  <x:c r="AA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  <x:c r="AA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  <x:c r="AA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  <x:c r="AA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  <x:c r="AA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  <x:c r="AA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  <x:c r="AA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  <x:c r="AA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  <x:c r="AA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  <x:c r="AA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  <x:c r="AA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  <x:c r="AA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  <x:c r="AA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  <x:c r="AA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  <x:c r="AA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  <x:c r="AA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  <x:c r="AA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  <x:c r="AA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  <x:c r="AA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  <x:c r="AA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  <x:c r="AA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  <x:c r="AA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  <x:c r="AA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  <x:c r="AA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  <x:c r="AA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  <x:c r="AA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  <x:c r="AA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  <x:c r="AA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  <x:c r="AA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  <x:c r="AA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  <x:c r="AA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  <x:c r="AA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  <x:c r="AA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  <x:c r="AA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  <x:c r="AA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  <x:c r="AA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  <x:c r="AA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  <x:c r="AA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  <x:c r="AA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  <x:c r="AA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  <x:c r="AA80" s="73"/>
    </x:row>
  </x:sheetData>
  <x:mergeCells>
    <x:mergeCell ref="A1:H1"/>
  </x:mergeCells>
  <x:pageMargins left="0.7" right="0.7" top="0.75" bottom="0.75" header="0.3" footer="0.3"/>
</x:worksheet>
</file>